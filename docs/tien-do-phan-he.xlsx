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jobs\SVN\docs\"/>
    </mc:Choice>
  </mc:AlternateContent>
  <xr:revisionPtr revIDLastSave="0" documentId="13_ncr:1_{742BE47B-004F-4911-BA67-886802A97806}" xr6:coauthVersionLast="47" xr6:coauthVersionMax="47" xr10:uidLastSave="{00000000-0000-0000-0000-000000000000}"/>
  <bookViews>
    <workbookView xWindow="-108" yWindow="-108" windowWidth="23256" windowHeight="12456" xr2:uid="{00000000-000D-0000-FFFF-FFFF00000000}"/>
  </bookViews>
  <sheets>
    <sheet name="Tổng quan" sheetId="1" r:id="rId1"/>
    <sheet name="Chi tiết chức năng" sheetId="2" r:id="rId2"/>
    <sheet name="Lương khoán" sheetId="3" r:id="rId3"/>
    <sheet name="Tính năng chung" sheetId="4" r:id="rId4"/>
  </sheets>
  <definedNames>
    <definedName name="_xlnm._FilterDatabase" localSheetId="1" hidden="1">'Chi tiết chức năng'!$A$4:$H$63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3" l="1"/>
  <c r="C31" i="3"/>
  <c r="D30" i="3"/>
  <c r="C30" i="3"/>
  <c r="D29" i="3"/>
  <c r="C29" i="3"/>
  <c r="D28" i="3"/>
  <c r="C28" i="3"/>
  <c r="F24" i="3"/>
  <c r="E24" i="3"/>
  <c r="D24" i="3" s="1"/>
  <c r="D23" i="3"/>
  <c r="D22" i="3"/>
  <c r="D21" i="3"/>
  <c r="D20" i="3"/>
  <c r="D19" i="3"/>
  <c r="D18" i="3"/>
  <c r="D17" i="3"/>
  <c r="D16" i="3"/>
  <c r="D15" i="3"/>
  <c r="D14" i="3"/>
  <c r="D13" i="3"/>
  <c r="D12" i="3"/>
  <c r="D11" i="3"/>
  <c r="D10" i="3"/>
  <c r="D9" i="3"/>
  <c r="D8" i="3"/>
  <c r="D7" i="3"/>
  <c r="D6" i="3"/>
  <c r="D5" i="3"/>
  <c r="G63" i="2"/>
  <c r="G62" i="2"/>
  <c r="G61"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E25" i="1"/>
  <c r="D25" i="1"/>
  <c r="G25" i="1" s="1"/>
  <c r="D24" i="1"/>
  <c r="E23" i="1"/>
  <c r="D23" i="1"/>
  <c r="G23" i="1" s="1"/>
  <c r="E22" i="1"/>
  <c r="D22" i="1"/>
  <c r="G22" i="1" s="1"/>
  <c r="F21" i="1"/>
  <c r="H21" i="1" s="1"/>
  <c r="E21" i="1"/>
  <c r="D21" i="1"/>
  <c r="G21" i="1" s="1"/>
  <c r="E20" i="1"/>
  <c r="D20" i="1"/>
  <c r="F20" i="1" s="1"/>
  <c r="H20" i="1" s="1"/>
  <c r="G19" i="1"/>
  <c r="E19" i="1"/>
  <c r="D19" i="1"/>
  <c r="E18" i="1"/>
  <c r="D18" i="1"/>
  <c r="E17" i="1"/>
  <c r="D17" i="1"/>
  <c r="G17" i="1" s="1"/>
  <c r="G16" i="1"/>
  <c r="E16" i="1"/>
  <c r="F16" i="1" s="1"/>
  <c r="H16" i="1" s="1"/>
  <c r="D16" i="1"/>
  <c r="E15" i="1"/>
  <c r="D15" i="1"/>
  <c r="E14" i="1"/>
  <c r="D14" i="1"/>
  <c r="D5" i="1"/>
  <c r="F19" i="1" l="1"/>
  <c r="H19" i="1" s="1"/>
  <c r="D26" i="1"/>
  <c r="D6" i="1" s="1"/>
  <c r="F15" i="1"/>
  <c r="H15" i="1" s="1"/>
  <c r="F18" i="1"/>
  <c r="H18" i="1" s="1"/>
  <c r="G18" i="1"/>
  <c r="G15" i="1"/>
  <c r="F17" i="1"/>
  <c r="H17" i="1" s="1"/>
  <c r="G20" i="1"/>
  <c r="F25" i="1"/>
  <c r="H25" i="1" s="1"/>
  <c r="F14" i="1"/>
  <c r="F22" i="1"/>
  <c r="H22" i="1" s="1"/>
  <c r="F23" i="1"/>
  <c r="H23" i="1" s="1"/>
  <c r="G14" i="1"/>
  <c r="B31" i="1"/>
  <c r="F60" i="2"/>
  <c r="H14" i="1" l="1"/>
  <c r="G60" i="2"/>
  <c r="E24" i="1"/>
  <c r="G24" i="1"/>
  <c r="F24" i="1" l="1"/>
  <c r="E26" i="1"/>
  <c r="G26" i="1"/>
  <c r="D9" i="1" s="1"/>
  <c r="B29" i="1" l="1"/>
  <c r="D7" i="1"/>
  <c r="H24" i="1"/>
  <c r="B30" i="1" s="1"/>
  <c r="F26" i="1"/>
  <c r="H26" i="1" l="1"/>
  <c r="D8" i="1"/>
</calcChain>
</file>

<file path=xl/sharedStrings.xml><?xml version="1.0" encoding="utf-8"?>
<sst xmlns="http://schemas.openxmlformats.org/spreadsheetml/2006/main" count="419" uniqueCount="316">
  <si>
    <t>BÁO CÁO TIẾN ĐỘ PHÁT TRIỂN HỆ THỐNG ERP SAO VIỆT NHẬT</t>
  </si>
  <si>
    <t>Ngày báo cáo: 13/10/2026. Phạm vi: toàn bộ phân hệ trên menu hệ thống.</t>
  </si>
  <si>
    <t>1. Kết quả chung</t>
  </si>
  <si>
    <t>Số phân hệ</t>
  </si>
  <si>
    <t>Số chức năng</t>
  </si>
  <si>
    <t>Chức năng đã chạy, đang hoàn thiện</t>
  </si>
  <si>
    <t>Chức năng đang làm</t>
  </si>
  <si>
    <t>Tiến độ chung toàn hệ thống</t>
  </si>
  <si>
    <t>2. Tiến độ theo phân hệ</t>
  </si>
  <si>
    <t>STT</t>
  </si>
  <si>
    <t>Phân hệ</t>
  </si>
  <si>
    <t>Nội dung chính</t>
  </si>
  <si>
    <t>Đã chạy</t>
  </si>
  <si>
    <t>Đang làm</t>
  </si>
  <si>
    <t>% hoàn thành</t>
  </si>
  <si>
    <t>Trạng thái</t>
  </si>
  <si>
    <t>Tổng quan</t>
  </si>
  <si>
    <t>Trang tự phục vụ của từng nhân viên: hồ sơ, phép, công, phiếu lương.</t>
  </si>
  <si>
    <t>Kinh doanh</t>
  </si>
  <si>
    <t>Từ tính giá, báo giá, đơn hàng tới giao hàng và chăm sóc khách.</t>
  </si>
  <si>
    <t>Sản xuất</t>
  </si>
  <si>
    <t>Lên lệnh, xếp lịch máy, theo dõi đơn, kế hoạch vật tư, kiểm chất lượng.</t>
  </si>
  <si>
    <t>Tổ sản xuất</t>
  </si>
  <si>
    <t>Bàn việc của từng tổ, bàn giao giữa tổ, ghi sản lượng theo mẻ.</t>
  </si>
  <si>
    <t>Sửa chữa &amp; bảo dưỡng</t>
  </si>
  <si>
    <t>Báo hỏng, phiếu sửa chữa, bảo trì định kỳ tự sinh.</t>
  </si>
  <si>
    <t>Thu mua</t>
  </si>
  <si>
    <t>Yêu cầu mua, đơn mua gom theo nhà cung cấp, hồ sơ và bảng giá NCC.</t>
  </si>
  <si>
    <t>Kế toán</t>
  </si>
  <si>
    <t>Duyệt đơn mua, phiếu thu chi, công nợ phải thu và phải trả, tài sản.</t>
  </si>
  <si>
    <t>Kho hàng</t>
  </si>
  <si>
    <t>Yêu cầu nhập xuất, tồn theo lô và vị trí, cảnh báo và dự báo tồn.</t>
  </si>
  <si>
    <t>Báo cáo</t>
  </si>
  <si>
    <t>Báo cáo kinh doanh, kho, công nợ, thu chi; bảng hoặc biểu đồ, xuất Excel.</t>
  </si>
  <si>
    <t>Cấu hình danh mục</t>
  </si>
  <si>
    <t>11 danh mục nền dùng chung; 9 danh mục nhập xuất được Excel.</t>
  </si>
  <si>
    <t>Nhân sự &amp; Lương</t>
  </si>
  <si>
    <t>Hồ sơ, chấm công GPS, phép, tăng ca, bảng lương, tạm ứng. Còn lương khoán sản phẩm.</t>
  </si>
  <si>
    <t>Quản lý hệ thống</t>
  </si>
  <si>
    <t>Phân quyền theo vai trò và phạm vi, nhật ký thao tác.</t>
  </si>
  <si>
    <t>TOÀN HỆ THỐNG</t>
  </si>
  <si>
    <t>3. Đánh giá và việc còn lại</t>
  </si>
  <si>
    <t>Đã có đầu vào (đơn giá khoán theo công đoạn, tổ ghi sản lượng theo mẻ kèm người làm) và đầu ra (cột khoán trên bảng lương, phiếu lương, lương bù lỗ). Khoán km cho lái xe giao hàng đã chạy.</t>
  </si>
  <si>
    <t>Còn thiếu khâu ở giữa: màn Khoán theo kỳ để đổi sản lượng thành tiền và chia cho từng người. Vì vậy hiện chưa có tiền khoán sản phẩm nào lên bảng lương; tổ khoán đang được trả theo lương bù lỗ.</t>
  </si>
  <si>
    <t>4. Cách tính</t>
  </si>
  <si>
    <t>•</t>
  </si>
  <si>
    <t>Chức năng đã chạy được tính từ 90% trở lên; phần còn lại dành cho kiểm thử với người dùng thật và chỉnh sửa sau khi đưa vào sử dụng.</t>
  </si>
  <si>
    <t>Chức năng lấy theo các mục trên menu của hệ thống; màn Lương tách theo từng tab, phần tính lương khoán tách thành một dòng riêng.</t>
  </si>
  <si>
    <t>% của một phân hệ = trung bình % các chức năng trong phân hệ. Toàn hệ thống = trung bình trên mọi chức năng.</t>
  </si>
  <si>
    <t>% tính lương khoán = bình quân theo trọng số của 19 hạng mục ở sheet Lương khoán.</t>
  </si>
  <si>
    <t>Nội dung đã làm được rà trực tiếp từ mã nguồn, không lấy từ tài liệu cũ.</t>
  </si>
  <si>
    <t>CHI TIẾT CHỨC NĂNG THEO PHÂN HỆ</t>
  </si>
  <si>
    <t>Ngày báo cáo 13/10/2026. Cột F chữ xanh là ô nhập; chữ xanh lá lấy từ sheet Lương khoán.</t>
  </si>
  <si>
    <t>Chức năng</t>
  </si>
  <si>
    <t>Người dùng chính</t>
  </si>
  <si>
    <t>Những gì đã làm được</t>
  </si>
  <si>
    <t>Ghi chú</t>
  </si>
  <si>
    <t>Hồ sơ của tôi</t>
  </si>
  <si>
    <t>Mọi nhân viên</t>
  </si>
  <si>
    <t>• Xem hồ sơ cá nhân, ca làm hôm nay, thâm niên, quản lý trực tiếp
• Tự sửa số điện thoại, email, người liên hệ khẩn cấp
• Gửi đề nghị sửa thông tin cho HCNS duyệt, theo dõi hoặc rút lại
• Xem nhanh phép năm còn lại, số công tháng này, phiếu lương gần nhất
• Nhắc các mục hồ sơ còn thiếu; tự đổi ảnh đại diện và mật khẩu</t>
  </si>
  <si>
    <t>Quy trình kinh doanh</t>
  </si>
  <si>
    <t>Kinh doanh, nhân viên mới, Ban giám đốc</t>
  </si>
  <si>
    <t>• Sơ đồ 18 bước của một đơn, từ khách hỏi giá tới thu đủ tiền
• Chia cột theo 7 bộ phận: Kinh doanh, Kế toán, KHSX, Tổ, KCS, Kho, Giao hàng
• Mũi tên ghi rõ điều kiện chuyển bước (cần cọc, hàng đạt, kho đã nhận)
• Bấm vào bước để xem mô tả và mở thẳng màn làm việc (theo quyền)</t>
  </si>
  <si>
    <t>Tính giá</t>
  </si>
  <si>
    <t>• Phiếu tính giá vốn theo số lượng, nhiều sản phẩm và thành phần
• Tự tính giấy, kẽm, mực, công in, gia công, bù hao từng công đoạn
• Sơ đồ bình bài hiện ngay khi nhập, tự tính số con trên tờ in
• Số liệu lấy từ danh mục, vẫn sửa tay được khi cần
• Gọi lại cấu hình hàng tái bản; nhân bản sản phẩm hoặc cả phiếu
• Chuyển phiếu sang báo giá bằng một nút</t>
  </si>
  <si>
    <t>Báo giá in ấn</t>
  </si>
  <si>
    <t>Kinh doanh, Giám đốc Kinh doanh (duyệt)</t>
  </si>
  <si>
    <t>• Lập báo giá từ phiếu tính giá, nhiều mức số lượng
• Tự tính chiết khấu, VAT, giá bán, lợi nhuận; gõ tay giá từng dòng được
• Báo giá đặc thù phải qua Giám đốc KD duyệt, bắt buộc ghi lý do
• Quản lý phiên bản, bản cũ giữ trong lịch sử; đính kèm tệp
• In hoặc lưu PDF trên giấy tiêu đề công ty
• Ghi kết quả gửi khách; khách đồng ý thì lên đơn hàng ngay</t>
  </si>
  <si>
    <t>Đơn hàng bán</t>
  </si>
  <si>
    <t>Kinh doanh, Kế toán</t>
  </si>
  <si>
    <t>• Đơn sinh từ báo giá khách đã đồng ý, không gõ lại
• Theo dõi cọc theo tỷ lệ: đã thu, còn thiếu, trừ cọc, trả cọc
• Chốt đơn, ghi lưu ý sản xuất; đủ cọc thì tự chuyển xuống sản xuất
• Xem các chặng của đơn: sản xuất, nhập kho, giao hàng, hóa đơn
• Yêu cầu giao phần hàng đã nhập kho, giao từng phần được
• Ghi hoặc hủy số hóa đơn MISA theo phần hàng đã giao</t>
  </si>
  <si>
    <t>Giao hàng</t>
  </si>
  <si>
    <t>Điều phối giao hàng, tài xế, Kho</t>
  </si>
  <si>
    <t>• Nhận yêu cầu giao, xếp xe, tài xế, phụ xe; gộp nhiều đơn một lượt
• Báo kho soạn hàng kèm giờ cần xong; đổi hoặc hủy chuyến trước khi xuất
• Ghi số đồng hồ xe lúc đi, tới khách, về kho; tự tính km
• Ghi kết quả từng điểm giao kèm ảnh minh chứng
• In phiếu xuất kho bán hàng và phiếu giao hàng theo mẫu MISA
• Thống kê việc của từng tài xế theo tháng</t>
  </si>
  <si>
    <t>Khách hàng</t>
  </si>
  <si>
    <t>Kinh doanh, Trưởng phòng Kinh doanh</t>
  </si>
  <si>
    <t>• Danh bạ khách: lọc khách đang mua, ngừng đặt, chưa có đơn
• Hồ sơ khách: doanh số 12 tháng, cơ cấu sản phẩm, tần suất, uy tín thanh toán
• Lịch sử mua hàng, báo giá, công nợ của từng khách
• Người liên hệ, địa chỉ giao hàng, thẻ phân loại; tra theo mã số thuế
• Lịch hẹn chăm sóc khách, có nhắc khi tới hẹn
• Chuyển khách hàng loạt sang nhân viên khác; nhập và xuất Excel</t>
  </si>
  <si>
    <t>Kế hoạch sản xuất</t>
  </si>
  <si>
    <t>Phòng Kế hoạch sản xuất</t>
  </si>
  <si>
    <t>• Hàng chờ đơn Kinh doanh chuyển xuống, báo mức gấp và hạn giao
• Lên lệnh từng món; món đủ tồn kho thì xuất kho, không cần lệnh
• Hoàn thiện lệnh: quy cách, công đoạn, máy, số lượng, bù hao
• Khai vật tư, giữ chỗ giấy trong kho, đính kèm maket và bản vẽ
• Danh sách mục còn thiếu trước khi chuyển lệnh sang xếp lịch
• Giao trọn gói hoặc từng công đoạn cho nhà gia công ngoài</t>
  </si>
  <si>
    <t>Hồ sơ lệnh sản xuất</t>
  </si>
  <si>
    <t>Điều độ, QC, Kinh doanh (tra cứu)</t>
  </si>
  <si>
    <t>• Tra mọi lệnh đã phát hành, kể cả lệnh đã đóng
• Các bước của lệnh trên một dòng, biết ngay đang ở bước nào
• Sản lượng: số đặt, làm ra, KCS đạt, nhập kho, đã giao
• Tổ, máy, giờ hẹn xong từng bước và các sự cố
• Nhật ký đầy đủ của lệnh theo ngày</t>
  </si>
  <si>
    <t>Màn chỉ để xem, không hiện số tiền (chủ ý thiết kế).</t>
  </si>
  <si>
    <t>Theo dõi sản xuất</t>
  </si>
  <si>
    <t>Kinh doanh, chủ xưởng</t>
  </si>
  <si>
    <t>• Mỗi đơn một dòng, hiện 4 chặng Lệnh, Sản xuất, Kho, Giao
• Báo đơn đang làm gì, còn bao lâu tới hạn, đang vướng gì
• Lọc nhanh đơn đang vướng, đang làm, chờ giao, đã giao đủ
• Từng mặt hàng: số đặt, đã nhập kho, có sẵn trong tồn, đã giao
• Nhật ký đơn: giao xưởng, KCS, sự cố, kho nhận, giao hàng</t>
  </si>
  <si>
    <t>Màn chỉ để xem (chủ ý thiết kế).</t>
  </si>
  <si>
    <t>Kế hoạch vật tư</t>
  </si>
  <si>
    <t>Kế hoạch sản xuất, Thu mua</t>
  </si>
  <si>
    <t>• Đối chiếu nhu cầu vật tư với tồn kho, hàng đang về, phần đã cấp
• Xem theo lệnh hoặc theo mặt hàng, lọc theo tình trạng
• Tạo đề nghị mua điền sẵn, chuyển sang Thu mua
• Giữ hoặc nhả hàng giữa các lệnh; hủy phiếu mua phải ghi lý do
• Xuất Excel bảng vật tư</t>
  </si>
  <si>
    <t>Xếp lịch</t>
  </si>
  <si>
    <t>Kế hoạch sản xuất (điều độ)</t>
  </si>
  <si>
    <t>• Lịch theo ngày và theo máy, tính cả ngày lễ, ngày làm bù
• Kéo lệnh từ khay chờ thả vào ngày; tự tính giờ bắt đầu và giờ xong
• Cảnh báo trước lệnh có nguy cơ trễ hạn giao
• Phát hành lệnh xuống xưởng, thu hồi, so sánh các lần phát hành
• Hoàn tác thao tác vừa làm; xem tình trạng vật tư ngay trên lịch</t>
  </si>
  <si>
    <t>KCS</t>
  </si>
  <si>
    <t>Bộ phận KCS</t>
  </si>
  <si>
    <t>• Danh sách lệnh chờ kiểm, số đạt và số cần
• Ghi lỗi ở công đoạn giữa theo tiêu chí, kèm số lỗi và ảnh
• Kiểm đạt ở bước cuối rồi gửi phần hàng đạt sang kho
• Truy lỗi phát sinh ở công đoạn nào, tổ nào
• Báo cáo lỗi dạng bảng hoặc biểu đồ, so kỳ trước; xuất Excel
• Đóng lệnh theo nhóm, mở lại được; đóng khi còn thiếu cần quyền riêng</t>
  </si>
  <si>
    <t>Bàn việc của tổ</t>
  </si>
  <si>
    <t>Tổ trưởng, công nhân</t>
  </si>
  <si>
    <t>• Menu tự hiện các tổ người dùng được xem, tổ con nằm dưới tổ cha
• Mỗi tổ có bàn riêng: việc chờ, lịch theo ngày, danh sách việc
• Bắt đầu, tạm dừng (ghi lý do), kết thúc việc; đổi máy giữa chừng
• Bàn giao bán thành phẩm sang tổ sau, tổ nhận xác nhận số lượng
• Báo sự cố máy cho tổ sửa chữa; đề nghị kho cấp vật tư
• Có dấu báo việc mới; dùng được trên điện thoại</t>
  </si>
  <si>
    <t>Ghi sản lượng</t>
  </si>
  <si>
    <t>Tổ trưởng, quản đốc</t>
  </si>
  <si>
    <t>• Ghi sản lượng từng mẻ kèm danh sách người cùng làm
• Thêm người tổ khác sang hỗ trợ ngay lúc ghi
• Sửa số mẻ đã ghi; tổ nhận được báo để xác nhận lại
• Bảng sản lượng theo khoảng ngày: lệnh, công đoạn, số lượng, người làm
• Tách phần người tổ mình đi làm ở tổ khác, không cộng trùng</t>
  </si>
  <si>
    <t>Là thẻ trên bàn việc của tổ, không phải mục menu riêng.</t>
  </si>
  <si>
    <t>Sửa chữa máy</t>
  </si>
  <si>
    <t>Tổ kỹ thuật; thợ đứng máy, tổ trưởng (báo hỏng)</t>
  </si>
  <si>
    <t>• Ai cũng gửi được yêu cầu báo máy hỏng, có mô tả triệu chứng
• Tổ kỹ thuật thấy hàng chờ, nhận sửa hoặc từ chối kèm lý do
• Phiếu sửa chữa có mức độ, gắn với máy và lệnh sản xuất
• Tính thời gian máy dừng, thời gian sửa; cảnh báo quá hạn
• Đóng phiếu phải có ít nhất một ảnh sau sửa; lưu lịch sử thao tác</t>
  </si>
  <si>
    <t>Phiếu bảo trì</t>
  </si>
  <si>
    <t>Tổ kỹ thuật</t>
  </si>
  <si>
    <t>• Phiếu định kỳ tự sinh khi tới hạn theo lịch bảo trì của máy
• Lịch tháng hiện phiếu thật lẫn kỳ dự kiến, bấm vào là tạo phiếu
• Thêm việc bảo trì ngoài lịch hoặc đột xuất
• Danh sách việc cần làm; đóng phiếu khi đủ ảnh và xong việc
• Cảnh báo quá hạn; hủy hoặc mở lại phải ghi lý do; in phiếu</t>
  </si>
  <si>
    <t>Yêu cầu mua hàng</t>
  </si>
  <si>
    <t>Các phòng ban</t>
  </si>
  <si>
    <t>• Lập yêu cầu chọn vật tư từ danh mục, ghi số lượng và ngày cần
• Ba loại mua: theo yêu cầu, mua tồn kho, mua cho lệnh sản xuất
• Tự điền sẵn khi đi từ Tồn kho hoặc Kế hoạch vật tư
• Theo dõi từng món: đã có đơn, đã về, đã nhập kho
• Sửa, hủy, bỏ bớt từng món, có lịch sử; lọc theo kỳ; in phiếu</t>
  </si>
  <si>
    <t>Mua hàng</t>
  </si>
  <si>
    <t>Bộ phận Thu mua</t>
  </si>
  <si>
    <t>• Hộp yêu cầu chờ xử lý, cảnh báo yêu cầu quá ngày cần
• Gom nhiều yêu cầu thành đơn mua, tự tách theo nhà cung cấp
• Ghi đơn giá, chiết khấu, VAT, hợp đồng, tiền cọc, điều khoản thanh toán
• Ghi từng đợt giao, số thực nhận, hóa đơn
• Từ đợt giao bấm Nhập kho, phiếu nhập điền sẵn
• Gửi duyệt sang Kế toán, hủy có lý do, in phiếu, xem lịch sử</t>
  </si>
  <si>
    <t>Nhà cung cấp</t>
  </si>
  <si>
    <t>Thu mua, Kế toán</t>
  </si>
  <si>
    <t>• Hồ sơ NCC: liên hệ, mã số thuế, nhóm hàng, có nhận gia công không
• Bảng giá vật tư theo khổ, quy đổi về đơn vị gốc để so giá
• Nhập và xuất bảng giá bằng Excel
• Tự chấm sao theo tỷ lệ giao đúng hẹn
• Hạn mức công nợ, số ngày cho nợ; lịch sử đơn mua</t>
  </si>
  <si>
    <t>Đơn mua hàng (duyệt)</t>
  </si>
  <si>
    <t>Giám đốc, Kế toán thanh toán</t>
  </si>
  <si>
    <t>• Nhận mọi đơn mua Thu mua gửi sang, lọc theo tình trạng hàng và tiền
• Duyệt hoặc từ chối, từ chối bắt buộc ghi lý do
• Nút Duyệt và lập chứng từ chi tiền trong một bước
• Cảnh báo NCC vượt hạn mức công nợ (nhắc, không chặn)</t>
  </si>
  <si>
    <t>Phiếu chi</t>
  </si>
  <si>
    <t>Kế toán thanh toán, Thủ quỹ</t>
  </si>
  <si>
    <t>• Chi tiền mặt hoặc ủy nhiệm chi chuyển khoản
• Chi nhiều đợt: cọc, một phần, thanh toán cuối; không chi vượt
• Chi cho đơn mua, gia công ngoài, trả lại khách, khoản chi khác theo mục
• Đính kèm ảnh hoặc PDF hóa đơn; nhắc phiếu thiếu chứng từ
• In đúng mẫu 02-TT, có số tiền bằng chữ; đã chi chỉ hủy kèm lý do</t>
  </si>
  <si>
    <t>Công nợ phải trả</t>
  </si>
  <si>
    <t>Kế toán công nợ, Kế toán trưởng</t>
  </si>
  <si>
    <t>• Nợ từng NCC tự tính từ hàng đã giao trừ tiền đã chi
• Chia theo tuổi nợ, đánh dấu quá hạn và vượt hạn mức
• Trả nhiều đợt cùng lúc bằng một phiếu chi
• Ghi nhận NCC hoàn tiền; xem sao kê và lịch sử trả</t>
  </si>
  <si>
    <t>Phiếu thu</t>
  </si>
  <si>
    <t>• Thu cọc đơn bán, thu theo hóa đơn, thu khác (bán phế liệu)
• Thu tiền thừa từ phiếu chi; ghi nhận NCC hoàn tiền
• Thu tiền mặt hoặc ngân hàng (bắt buộc mã giao dịch)
• Đính kèm ảnh, in mẫu 01-TT, hủy kèm lý do</t>
  </si>
  <si>
    <t>Công nợ phải thu</t>
  </si>
  <si>
    <t>Kế toán công nợ; Kinh doanh</t>
  </si>
  <si>
    <t>• Tính nợ từng khách theo từng hóa đơn bán
• Chia theo tuổi nợ, đánh dấu quá hạn, lọc theo người phụ trách
• Thu tiền theo hóa đơn ngay trên màn, sinh phiếu thu
• Trả lại tiền cho khách đang dư; sao kê và lịch sử thu</t>
  </si>
  <si>
    <t>Tài khoản ngân hàng</t>
  </si>
  <si>
    <t>Kế toán trưởng, Thủ quỹ</t>
  </si>
  <si>
    <t>• Khai tài khoản ngân hàng công ty, đặt tài khoản mặc định
• Tổng thu, tổng chi trong kỳ, so cùng kỳ năm trước
• Xem và in sao kê từng tài khoản
• Ngừng hoặc dùng lại tài khoản</t>
  </si>
  <si>
    <t>Tài sản &amp; CCDC</t>
  </si>
  <si>
    <t>Kế toán tài sản</t>
  </si>
  <si>
    <t>• Thêm tài sản mới mua hoặc đang dùng từ trước
• Tự phân loại TSCĐ hay CCDC theo ngưỡng 30 triệu
• Tự tính khấu hao từng tháng và giá trị còn lại
• Chuyển bộ phận, sửa chữa lớn, thôi dùng (có hoàn tác)
• Bảng khấu hao tháng xuất Excel; lịch sử biến động từng tài sản</t>
  </si>
  <si>
    <t>Yêu cầu nhập xuất</t>
  </si>
  <si>
    <t>Tổ sản xuất, Thu mua; Thủ kho</t>
  </si>
  <si>
    <t>• Lập yêu cầu nhập, xuất, chuyển kho, có thể gắn lệnh sản xuất
• Người yêu cầu không thấy tồn và giá
• Thủ kho có hộp riêng: chọn kho, chọn lô, cấp đủ hoặc cấp thiếu
• Ghi sổ phiếu, đính kèm ảnh chứng từ, báo lại người yêu cầu
• Nhận hàng mua về và thành phẩm đã qua KCS vào kho</t>
  </si>
  <si>
    <t>Màn từng kho (tồn, lô, phiếu)</t>
  </si>
  <si>
    <t>Thủ kho, Quản lý kho</t>
  </si>
  <si>
    <t>• Tồn theo mặt hàng, mở xem từng lô, vị trí, hạn dùng
• Mức tồn tối thiểu, tối đa; cảnh báo thiếu, vượt, sắp hết hạn
• Dự báo tồn theo hàng sắp xuất và sắp về; từ hàng thiếu tạo yêu cầu mua
• Chuyển hàng giữa các kho; in tem lô
• Chỉ người có quyền mới thấy giá vốn</t>
  </si>
  <si>
    <t>Báo cáo kinh doanh</t>
  </si>
  <si>
    <t>Giám đốc, Kinh doanh</t>
  </si>
  <si>
    <t>• Đơn đã chốt theo từng khách, tính theo ngày chốt
• Sản phẩm, đơn giá, tổng tiền có VAT của từng đơn
• Cọc phải thu và đã nhận; đã giao, còn phải giao, đã xuất hóa đơn, đã thu
• Xem dạng bảng hoặc biểu đồ; xuất Excel</t>
  </si>
  <si>
    <t>Nhân viên KD chỉ thấy đơn của mình.</t>
  </si>
  <si>
    <t>Báo cáo kho</t>
  </si>
  <si>
    <t>Kế toán kho</t>
  </si>
  <si>
    <t>• Nhập, xuất, tồn theo kỳ, giá bình quân cuối kỳ
• Sổ chi tiết phiếu nhập xuất và sổ chuyển kho
• Khóa kỳ kho, đã khóa thì chặn sửa phiếu cũ
• Xuất Excel đúng mẫu MISA; xem dạng biểu đồ</t>
  </si>
  <si>
    <t>Báo cáo công nợ</t>
  </si>
  <si>
    <t>Kế toán trưởng, Giám đốc</t>
  </si>
  <si>
    <t>• Nợ phải thu và phải trả theo kỳ: đầu kỳ, phát sinh, cuối kỳ
• Chia nợ cuối kỳ theo hạn và tuổi nợ
• Sổ chi tiết từng khách hoặc NCC; khóa và mở sổ kỳ
• Xuất Excel mẫu MISA; xem dạng biểu đồ</t>
  </si>
  <si>
    <t>Báo cáo thu chi</t>
  </si>
  <si>
    <t>Giám đốc, Kế toán trưởng</t>
  </si>
  <si>
    <t>• Thu và chi theo mục, chia cột theo tháng, có dòng chênh lệch
• Xem theo người nhận hoặc người nộp; nêu rõ khoản chưa phân loại
• Bấm vào số để xem các phiếu tạo nên số đó
• Xem dạng bảng hoặc biểu đồ; xuất Excel</t>
  </si>
  <si>
    <t>Thiết bị &amp; Máy móc</t>
  </si>
  <si>
    <t>Kỹ thuật, Kế hoạch sản xuất</t>
  </si>
  <si>
    <t>• Hồ sơ máy: nhóm, hãng, model, số seri
• Tốc độ trung bình, nhanh nhất, chậm nhất, thời gian chuẩn bị
• Lịch bảo trì định kỳ cho từng máy; trạng thái máy lúc này
• Nhân bản máy; nhập và xuất Excel</t>
  </si>
  <si>
    <t>Công đoạn</t>
  </si>
  <si>
    <t>Kỹ thuật, Kế hoạch SX, Kinh doanh</t>
  </si>
  <si>
    <t>• Giai đoạn, tổ phụ trách, tổ mặc định khi lên lệnh
• Máy chạy được công đoạn, công thức giá riêng theo máy
• Công thức giá, cách tính bù hao (cố định hoặc theo bậc)
• Vật tư tiêu hao, đơn giá khoán cho tổ; cờ cần khuôn bế
• Nhân bản; nhập và xuất Excel</t>
  </si>
  <si>
    <t>Đơn vị &amp; quy đổi</t>
  </si>
  <si>
    <t>Kho, Mua hàng</t>
  </si>
  <si>
    <t>• Tạo đơn vị và quy đổi dạng 1 A = n B ngay tại chỗ
• Quy đổi bằng số cố định hoặc công thức
• Thấy đơn vị đang được bao nhiêu mặt hàng dùng; nhập và xuất Excel</t>
  </si>
  <si>
    <t>Giấy</t>
  </si>
  <si>
    <t>Kho, Mua hàng, Kinh doanh</t>
  </si>
  <si>
    <t>• Định lượng, đơn vị tính chính và phụ (kg, tờ)
• Đơn giá theo kg; công thức tiền giấy tự điền sẵn, sửa được
• Khai giấy thay thế khi thiếu hàng; nhân bản; nhập và xuất Excel</t>
  </si>
  <si>
    <t>Vật tư khác</t>
  </si>
  <si>
    <t>Kho, Mua hàng, Kỹ thuật</t>
  </si>
  <si>
    <t>• Đơn vị tính chính và phụ, thông số riêng (dài, rộng)
• Công thức tính tiền và định mức tiêu hao từng vật tư
• Báo ngay vật tư chưa có công thức; nhân bản; nhập và xuất Excel</t>
  </si>
  <si>
    <t>Thành phẩm</t>
  </si>
  <si>
    <t>Kho, Kinh doanh</t>
  </si>
  <si>
    <t>• Tự sinh khi chốt đơn hàng, gắn với khách sở hữu
• Xem nguồn gốc, trạng thái, ảnh; mở nhanh đơn đầu tiên
• Không cho xóa để giữ tồn và chứng từ; Excel để sửa hàng loạt</t>
  </si>
  <si>
    <t>Khuôn</t>
  </si>
  <si>
    <t>Kỹ thuật, Kế hoạch SX, Kho khuôn</t>
  </si>
  <si>
    <t>• Khuôn bế theo khách, mã tự sinh, số kệ lưu trữ
• Tình trạng: đang dùng, đang đặt làm, hỏng, thanh lý
• Lọc theo loại, khách, tình trạng, số kệ; nhập và xuất Excel</t>
  </si>
  <si>
    <t>Khai báo kho</t>
  </si>
  <si>
    <t>Thủ kho, Kế toán kho</t>
  </si>
  <si>
    <t>• Tạo kho mới, kho tự hiện lên menu Kho hàng
• Danh sách kệ, ô cất hàng cho từng kho
• Chặn xóa kho còn tồn hoặc phiếu; kho thành phẩm được khóa
• Nhập và xuất Excel</t>
  </si>
  <si>
    <t>Tiêu chí KCS</t>
  </si>
  <si>
    <t>Phòng KCS</t>
  </si>
  <si>
    <t>• Xem mọi công đoạn, thấy ngay công đoạn chưa có tiêu chí
• Thêm, sửa tại chỗ, kéo thả đổi thứ tự
• Chép tiêu chí sang nhiều công đoạn cùng lúc
• Xem trước bước KCS cuối sẽ hiện những tiêu chí nào</t>
  </si>
  <si>
    <t>Xe giao hàng</t>
  </si>
  <si>
    <t>Giao hàng, HCNS</t>
  </si>
  <si>
    <t>• Khai xe theo biển số, tải trọng
• Gán mức khoán km để tính tiền mỗi chuyến
• Xe bán đi vẫn giữ lịch sử chuyến; nhập và xuất Excel</t>
  </si>
  <si>
    <t>Mục thu chi</t>
  </si>
  <si>
    <t>• Khai mục thu, mục chi cho phiếu thu, phiếu chi
• Sáu mục cố định theo nguồn phiếu, khóa không sửa
• Đếm số phiếu đã dùng mục, bấm mở báo cáo thu chi</t>
  </si>
  <si>
    <t>Phòng ban</t>
  </si>
  <si>
    <t>HCNS, Ban giám đốc</t>
  </si>
  <si>
    <t>• Cây tổ chức dạng danh sách hoặc sơ đồ
• Tạo phòng, tổ; đổi cấp trên; chỉ định trưởng phòng
• Nhân sự từng phòng; chuyển phòng, gán vai trò hàng loạt</t>
  </si>
  <si>
    <t>Hồ sơ nhân sự</t>
  </si>
  <si>
    <t>HCNS</t>
  </si>
  <si>
    <t>• Thêm nhân viên qua 5 bước, gồm lương và bảo hiểm ban đầu
• Thông tin, quá trình công tác, tệp đính kèm, nhật ký
• Điều chuyển, đổi chức danh, trạng thái, tự ghi quá trình công tác
• Tạo tài khoản, gán vai trò, khóa, đặt lại mật khẩu
• Duyệt đề nghị tự cập nhật hồ sơ; nhập và xuất Excel</t>
  </si>
  <si>
    <t>Chấm công</t>
  </si>
  <si>
    <t>Mọi nhân viên; HCNS, tổ trưởng</t>
  </si>
  <si>
    <t>• Chấm vào, chấm ra bằng GPS, ngoài bán kính bị chặn
• Điểm chấm công, ca làm, phân ca tháng theo người hoặc cả tổ
• Lịch làm việc, ngày lễ, làm bù; công chuẩn tháng tự tính
• Đơn đi muộn, về sớm, nghỉ nửa buổi; yêu cầu chỉnh công
• Bảng công tháng xuất Excel; chốt hoặc mở lại kỳ công</t>
  </si>
  <si>
    <t>Nghỉ phép</t>
  </si>
  <si>
    <t>Mọi nhân viên; tổ trưởng, HCNS</t>
  </si>
  <si>
    <t>• Nhân viên tự tạo đơn, xem số phép còn lại
• Tổ trưởng duyệt trong tổ, HCNS duyệt toàn công ty
• Lịch nghỉ dạng lưới nhân viên × ngày
• Loại nghỉ có lương, không lương, hạn mức; xin hủy đơn đã duyệt</t>
  </si>
  <si>
    <t>Tăng ca</t>
  </si>
  <si>
    <t>• Tự đăng ký khung giờ tăng ca, tự hủy khi chưa duyệt
• Duyệt hoặc từ chối nhiều phiếu một lần
• Tổ trưởng khai hộ cho người trong tổ
• Tiền tăng ca theo giờ chấm thực, không vượt khung đã duyệt</t>
  </si>
  <si>
    <t>Lương: bảng lương tháng</t>
  </si>
  <si>
    <t>HCNS, Kế toán</t>
  </si>
  <si>
    <t>• Khởi tạo bảng lương, tự lấy công, mức lương, tạm ứng
• Tính lại không mất số đã sửa tay
• Chốt, mở lại, đánh dấu đã chi; thêm thưởng phát sinh
• Xuất Excel, file chuyển khoản ngân hàng; công bố phiếu lương</t>
  </si>
  <si>
    <t>Lương: lương nhân viên</t>
  </si>
  <si>
    <t>• Thiết lập lương theo ngày hiệu lực, giữ lịch sử điều chỉnh
• Lương vị trí, trách nhiệm, chuyên cần, phụ cấp, khoản trả một lần
• Gán khoản thu nhập, khấu trừ riêng cho từng người</t>
  </si>
  <si>
    <t>Lương: tạm ứng</t>
  </si>
  <si>
    <t>• Chia theo chờ duyệt, chờ chi, đã chi; duyệt nhiều phiếu một lần
• Lập tạm ứng, lương đợt 1 cho cả xưởng; chưa đủ công bị chặn
• Một phiếu chi cho cả lô; xuất Excel và file chuyển khoản</t>
  </si>
  <si>
    <t>Lương: tạm ứng của tôi</t>
  </si>
  <si>
    <t>• Nhân viên tự đề nghị tạm ứng
• Theo dõi trạng thái phiếu của mình</t>
  </si>
  <si>
    <t>Lương: phiếu lương của tôi</t>
  </si>
  <si>
    <t>• Xem phiếu lương sau khi được công bố, xem lại kỳ trước
• In phiếu; chưa xem được thì báo rõ lý do</t>
  </si>
  <si>
    <t>Lương: cấu hình lương</t>
  </si>
  <si>
    <t>• Cơ chế theo bộ phận: bật tắt chuyên cần, khoán, tăng ca; hệ số làm thêm
• Khoán km giao hàng: giá theo bậc km, tỷ lệ tài xế và phụ xe
• Danh mục khoản thu nhập chịu thuế hay miễn thuế
• Bảo hiểm và thuế: tỷ lệ, mức trần, biểu thuế TNCN, phạt đi trễ</t>
  </si>
  <si>
    <t>Ô chỉ tiêu ngày và thưởng tổ trưởng mới khai được, chưa vào tính lương (thuộc phần lương khoán).</t>
  </si>
  <si>
    <t>Tính lương khoán</t>
  </si>
  <si>
    <t>HCNS, Kế toán lương; công nhân tổ khoán</t>
  </si>
  <si>
    <t>• Đã có đầu vào: đơn giá khoán theo công đoạn, ghi sản lượng theo mẻ
• Đã có đầu ra: cột khoán trên bảng lương, phiếu lương, lương bù lỗ
• Khoán km cho lái xe giao hàng đã chạy
• Còn thiếu: đổi sản lượng ra tiền và chia cho từng người</t>
  </si>
  <si>
    <t>Chi tiết ở sheet Lương khoán.</t>
  </si>
  <si>
    <t>Nội quy công ty</t>
  </si>
  <si>
    <t>HCNS; mọi nhân viên</t>
  </si>
  <si>
    <t>• Tải lên nội quy dạng PDF hoặc ảnh
• Tìm kiếm, xem trước ngay trên hệ thống; xóa tài liệu cũ</t>
  </si>
  <si>
    <t>Phân quyền</t>
  </si>
  <si>
    <t>Quản trị hệ thống, Ban giám đốc, HCNS</t>
  </si>
  <si>
    <t>• Mỗi phòng có vai trò riêng; thêm, xóa, nhân bản vai trò
• Ma trận quyền: mỗi màn có Xem, Thêm, Sửa, Xóa
• Phạm vi: Của tôi, Cả phòng, Tất cả
• Quyền chi tiết: duyệt, chốt kỳ, xem lương, xem giá vốn, xuất file</t>
  </si>
  <si>
    <t>Nằm trong màn Phòng ban, tab Vai trò &amp; Quyền.</t>
  </si>
  <si>
    <t>Nhật ký</t>
  </si>
  <si>
    <t>Quản trị hệ thống, Ban giám đốc</t>
  </si>
  <si>
    <t>• Ghi lại ai làm gì, trên đối tượng nào, lúc nào
• Lọc theo nhóm, hành động, người làm, khoảng ngày
• Chi tiết từng thao tác gồm IP và thiết bị; tự cập nhật dòng mới
• Xuất CSV theo bộ lọc, quyền xuất cấp riêng</t>
  </si>
  <si>
    <t>TÍNH LƯƠNG KHOÁN — HIỆN TRẠNG CHI TIẾT</t>
  </si>
  <si>
    <t>Rà từ mã nguồn ngày 13/10/2026. Sửa cột E (% hoàn thành) và F (trọng số), ô tổng tự tính lại.</t>
  </si>
  <si>
    <t>Khâu</t>
  </si>
  <si>
    <t>Hạng mục</t>
  </si>
  <si>
    <t>Trọng số</t>
  </si>
  <si>
    <t>Hiện trạng</t>
  </si>
  <si>
    <t>Đầu vào</t>
  </si>
  <si>
    <t>Khai đơn giá khoán theo công đoạn</t>
  </si>
  <si>
    <t>Mỗi công đoạn khai được đơn vị và đơn giá khoán.</t>
  </si>
  <si>
    <t>Khai việc phát sinh (thay kẽm, lên khuôn…)</t>
  </si>
  <si>
    <t>Khai theo công đoạn, chọn được khi ghi mẻ.</t>
  </si>
  <si>
    <t>Công thức ra lượng khoán</t>
  </si>
  <si>
    <t>Nhập và lưu được công thức, chưa áp dụng tính tự động.</t>
  </si>
  <si>
    <t>Quy đổi đơn vị (tờ sang m², nhịp…)</t>
  </si>
  <si>
    <t>Danh mục quy đổi đã có, chưa được gọi khi tính khoán.</t>
  </si>
  <si>
    <t>Ghi sản lượng theo mẻ, giữ đơn giá lúc ghi</t>
  </si>
  <si>
    <t>Tổ ghi mẻ (tốt + hỏng); mẻ giữ đơn giá tại thời điểm ghi.</t>
  </si>
  <si>
    <t>Ghi người tham gia từng mẻ</t>
  </si>
  <si>
    <t>Có danh sách người làm trong mẻ, kể cả người tổ khác sang hỗ trợ.</t>
  </si>
  <si>
    <t>Khâu tính tiền</t>
  </si>
  <si>
    <t>Chia sản lượng và tiền khoán cho từng người</t>
  </si>
  <si>
    <t>Theo chốt 18/09: tổ chỉ ghi nhận, việc chia chuyển về màn kế toán (chưa có).</t>
  </si>
  <si>
    <t>Thưởng hoặc ăn chia của tổ trưởng</t>
  </si>
  <si>
    <t>Khai được các mốc, chưa nối vào tính lương.</t>
  </si>
  <si>
    <t>Chỉ tiêu ngày của tổ khoán</t>
  </si>
  <si>
    <t>Khai được, chưa nối vào tính lương.</t>
  </si>
  <si>
    <t>Tổng hợp sản lượng theo kỳ lương</t>
  </si>
  <si>
    <t>Có bảng sản lượng tổ theo ngày; chưa có tổng theo từng người trong kỳ lương.</t>
  </si>
  <si>
    <t>Màn Khoán theo kỳ (quy đổi, nhân giá, chia, ra tiền)</t>
  </si>
  <si>
    <t>Mắt xích trung tâm, chưa bắt đầu. Đây là việc chính còn lại.</t>
  </si>
  <si>
    <t>Trừ lỗi hàng hỏng vào tiền khoán</t>
  </si>
  <si>
    <t>Có sẵn luật trần khấu trừ 30%, chưa có nguồn số liệu.</t>
  </si>
  <si>
    <t>Đầu ra lương</t>
  </si>
  <si>
    <t>Tiền khoán sản phẩm lên bảng lương</t>
  </si>
  <si>
    <t>Cột Khoán SP, so khoán với bù lỗ đã có; hiện luôn bằng 0 vì chưa có nguồn.</t>
  </si>
  <si>
    <t>Lương bù lỗ (mức sàn) cho tổ khoán</t>
  </si>
  <si>
    <t>Tính theo công; có luật riêng cho thử việc và tổ in.</t>
  </si>
  <si>
    <t>Tổ khoán không hưởng tiền giờ tăng ca</t>
  </si>
  <si>
    <t>Đã chạy theo lựa chọn của chủ doanh nghiệp.</t>
  </si>
  <si>
    <t>Duyệt sản lượng khoán trước khi lên lương</t>
  </si>
  <si>
    <t>Có chốt kỳ lương; chưa có bước duyệt sản lượng khoán riêng.</t>
  </si>
  <si>
    <t>Phiếu lương hiện phần khoán</t>
  </si>
  <si>
    <t>Phiếu có dòng khoán, khoán km, bù lỗ và câu giải thích.</t>
  </si>
  <si>
    <t>Xuất Excel</t>
  </si>
  <si>
    <t>Bảng lương xuất đúng mẫu; bảng sản lượng tổ chưa có nút xuất.</t>
  </si>
  <si>
    <t>Khoán km lái xe</t>
  </si>
  <si>
    <t>Khoán km cho tài xế và phụ xe</t>
  </si>
  <si>
    <t>Km × đơn giá theo bậc xe × tỷ lệ tài xế, phụ xe; còn chỉnh nhỏ phần km về kho.</t>
  </si>
  <si>
    <t>TIẾN ĐỘ TÍNH LƯƠNG KHOÁN</t>
  </si>
  <si>
    <t>Bình quân % các hạng mục theo trọng số (hạng mục càng nặng trọng số càng lớn).</t>
  </si>
  <si>
    <t>Theo khâu</t>
  </si>
  <si>
    <t>Số hạng mục</t>
  </si>
  <si>
    <t>Việc cần làm để hoàn thành</t>
  </si>
  <si>
    <t>Dựng màn Khoán theo kỳ cho kế toán lương: lấy sản lượng các mẻ trong kỳ, quy đổi đơn vị, nhân đơn giá, chia cho từng người tham gia.</t>
  </si>
  <si>
    <t>Nối kết quả màn này vào cột Khoán SP của bảng lương (hiện đang bằng 0 với mọi người).</t>
  </si>
  <si>
    <t>Đưa thưởng hoặc ăn chia của tổ trưởng, chỉ tiêu ngày và khoản trừ lỗi hàng hỏng vào tiền khoán.</t>
  </si>
  <si>
    <t>Thêm bước duyệt sản lượng khoán trước khi chốt kỳ lương; thêm xuất Excel bảng sản lượng tổ.</t>
  </si>
  <si>
    <t>Chốt một luật còn vênh: đơn giá lấy theo lúc ghi mẻ hay theo bảng giá lúc tính lương.</t>
  </si>
  <si>
    <t>Cập nhật tài liệu hướng dẫn tính lương (đang tả cách làm cũ trước 18/09).</t>
  </si>
  <si>
    <t>Không tính vào tiến độ</t>
  </si>
  <si>
    <t>–</t>
  </si>
  <si>
    <t>Báo cáo năng suất theo người, tổ, máy</t>
  </si>
  <si>
    <t>Chưa làm; không bắt buộc để trả được lương khoán.</t>
  </si>
  <si>
    <t>Khoản khoán không gắn sản lượng (máy hư, hết hàng…)</t>
  </si>
  <si>
    <t>Thiết kế 11/09 xếp vào mục Không làm.</t>
  </si>
  <si>
    <t>Trong lúc chưa có màn Khoán theo kỳ, người ở tổ khoán đang được trả theo lương bù lỗ (tính theo công), không có tiền giờ tăng ca.</t>
  </si>
  <si>
    <t>TÍNH NĂNG CHUNG CỦA HỆ THỐNG</t>
  </si>
  <si>
    <t>Có sẵn ở nhiều phân hệ, không tính riêng vào % từng phân hệ.</t>
  </si>
  <si>
    <t>Tính năng</t>
  </si>
  <si>
    <t>Mô tả</t>
  </si>
  <si>
    <t>Thông báo tức thời</t>
  </si>
  <si>
    <t>Duyệt hoặc từ chối báo giá, đơn đủ cọc, việc mới xuống tổ, bàn giao cần xác nhận, KCS bắt lỗi, kho đã nhận, chuyến giao, nhắc hẹn chăm sóc khách. Bảng tự cập nhật, không cần tải lại trang.</t>
  </si>
  <si>
    <t>Phân quyền theo từng màn</t>
  </si>
  <si>
    <t>Người dùng chỉ thấy màn và dữ liệu được cấp; quyền xem tiền và giá vốn gác ở máy chủ.</t>
  </si>
  <si>
    <t>Nhật ký thao tác</t>
  </si>
  <si>
    <t>Mọi phiếu, lệnh, danh mục đều lưu ai sửa gì, lúc nào.</t>
  </si>
  <si>
    <t>Nhập và xuất Excel</t>
  </si>
  <si>
    <t>9 danh mục nhập xuất Excel; các báo cáo, bảng lương, bảng công, tạm ứng, khấu hao, khách hàng xuất Excel; báo cáo kho và công nợ theo mẫu MISA.</t>
  </si>
  <si>
    <t>In phiếu theo mẫu</t>
  </si>
  <si>
    <t>Báo giá trên giấy tiêu đề, phiếu thu 01-TT, phiếu chi 02-TT, phiếu xuất kho và giao hàng mẫu MISA, phiếu bảo trì, phiếu lương, tem lô.</t>
  </si>
  <si>
    <t>Dùng trên điện thoại</t>
  </si>
  <si>
    <t>Bàn việc của tổ, chấm công GPS, phiếu bảo trì, giao hàng dùng được trên điện thoại.</t>
  </si>
  <si>
    <t>Xóa an toàn</t>
  </si>
  <si>
    <t>Mục đã dùng thì chỉ chuyển Ngừng dùng, không mất chứng từ cũ.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</si>
</sst>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scheme val="minor"/>
    </font>
    <font>
      <b/>
      <sz val="16"/>
      <color rgb="FF1F3864"/>
      <name val="Arial"/>
    </font>
    <font>
      <sz val="10"/>
      <color rgb="FF595959"/>
      <name val="Arial"/>
    </font>
    <font>
      <b/>
      <sz val="10"/>
      <color rgb="FFFFFFFF"/>
      <name val="Arial"/>
    </font>
    <font>
      <sz val="10"/>
      <name val="Arial"/>
    </font>
    <font>
      <sz val="10"/>
      <color rgb="FF0000FF"/>
      <name val="Arial"/>
    </font>
    <font>
      <b/>
      <sz val="10"/>
      <name val="Arial"/>
    </font>
    <font>
      <b/>
      <sz val="12"/>
      <color rgb="FF1F3864"/>
      <name val="Arial"/>
    </font>
    <font>
      <i/>
      <sz val="9"/>
      <color rgb="FF595959"/>
      <name val="Arial"/>
    </font>
    <font>
      <sz val="10"/>
      <color rgb="FF008000"/>
      <name val="Arial"/>
    </font>
  </fonts>
  <fills count="5">
    <fill>
      <patternFill patternType="none"/>
    </fill>
    <fill>
      <patternFill patternType="gray125"/>
    </fill>
    <fill>
      <patternFill patternType="solid">
        <fgColor rgb="FF1F3864"/>
      </patternFill>
    </fill>
    <fill>
      <patternFill patternType="solid">
        <fgColor rgb="FFD9E1F2"/>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35">
    <xf numFmtId="0" fontId="0" fillId="0" borderId="0" xfId="0"/>
    <xf numFmtId="0" fontId="7" fillId="0" borderId="0" xfId="0" applyFont="1" applyAlignment="1">
      <alignment horizontal="left" vertical="center"/>
    </xf>
    <xf numFmtId="1"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164" fontId="4" fillId="0" borderId="1" xfId="0" applyNumberFormat="1" applyFont="1" applyBorder="1" applyAlignment="1">
      <alignment horizontal="center" vertical="center" wrapText="1"/>
    </xf>
    <xf numFmtId="0" fontId="4"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0" fontId="4" fillId="0" borderId="0" xfId="0" applyFont="1" applyAlignment="1">
      <alignment horizontal="center" vertical="top"/>
    </xf>
    <xf numFmtId="0" fontId="4" fillId="0" borderId="1" xfId="0" applyFont="1" applyBorder="1" applyAlignment="1">
      <alignment horizontal="left" vertical="top" wrapText="1"/>
    </xf>
    <xf numFmtId="9" fontId="5"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6"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left" vertical="top" wrapText="1"/>
    </xf>
    <xf numFmtId="9" fontId="5" fillId="0" borderId="2" xfId="0" applyNumberFormat="1" applyFont="1" applyBorder="1" applyAlignment="1">
      <alignment horizontal="center" vertical="center" wrapText="1"/>
    </xf>
    <xf numFmtId="9" fontId="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0" xfId="0" applyFont="1" applyAlignment="1">
      <alignment horizontal="left" vertical="top" wrapText="1"/>
    </xf>
    <xf numFmtId="0" fontId="0" fillId="0" borderId="0" xfId="0"/>
    <xf numFmtId="0" fontId="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0" xfId="0" applyFont="1" applyAlignment="1">
      <alignment horizontal="left" vertical="top" wrapText="1"/>
    </xf>
    <xf numFmtId="0" fontId="2" fillId="0" borderId="0" xfId="0" applyFont="1"/>
    <xf numFmtId="0" fontId="1" fillId="0" borderId="0" xfId="0" applyFont="1"/>
    <xf numFmtId="0" fontId="4" fillId="0" borderId="0" xfId="0" applyFont="1" applyAlignment="1">
      <alignment horizontal="left" vertical="center" wrapText="1"/>
    </xf>
    <xf numFmtId="0" fontId="8" fillId="0" borderId="0" xfId="0" applyFont="1" applyAlignment="1">
      <alignment horizontal="left" vertical="center" wrapText="1"/>
    </xf>
  </cellXfs>
  <cellStyles count="1">
    <cellStyle name="Bình thường" xfId="0" builtinId="0"/>
  </cellStyles>
  <dxfs count="21">
    <dxf>
      <font>
        <color rgb="FF9C0006"/>
        <name val="Arial"/>
      </font>
      <fill>
        <patternFill patternType="solid">
          <fgColor rgb="FFFFC7CE"/>
        </patternFill>
      </fill>
    </dxf>
    <dxf>
      <font>
        <color rgb="FF9C5700"/>
        <name val="Arial"/>
      </font>
      <fill>
        <patternFill patternType="solid">
          <fgColor rgb="FFFFEB9C"/>
        </patternFill>
      </fill>
    </dxf>
    <dxf>
      <font>
        <color rgb="FF9C5700"/>
        <name val="Arial"/>
      </font>
      <fill>
        <patternFill patternType="solid">
          <fgColor rgb="FFFFEB9C"/>
        </patternFill>
      </fill>
    </dxf>
    <dxf>
      <font>
        <color rgb="FF9C5700"/>
        <name val="Arial"/>
      </font>
      <fill>
        <patternFill patternType="solid">
          <fgColor rgb="FFFFEB9C"/>
        </patternFill>
      </fill>
    </dxf>
    <dxf>
      <font>
        <color rgb="FF006100"/>
        <name val="Arial"/>
      </font>
      <fill>
        <patternFill patternType="solid">
          <fgColor rgb="FFC6EFCE"/>
        </patternFill>
      </fill>
    </dxf>
    <dxf>
      <font>
        <color rgb="FF006100"/>
        <name val="Arial"/>
      </font>
      <fill>
        <patternFill patternType="solid">
          <fgColor rgb="FFC6EFCE"/>
        </patternFill>
      </fill>
    </dxf>
    <dxf>
      <font>
        <color rgb="FF006100"/>
        <name val="Arial"/>
      </font>
      <fill>
        <patternFill patternType="solid">
          <fgColor rgb="FFC6EFCE"/>
        </patternFill>
      </fill>
    </dxf>
    <dxf>
      <font>
        <color rgb="FF9C0006"/>
        <name val="Arial"/>
      </font>
      <fill>
        <patternFill patternType="solid">
          <fgColor rgb="FFFFC7CE"/>
        </patternFill>
      </fill>
    </dxf>
    <dxf>
      <font>
        <color rgb="FF9C5700"/>
        <name val="Arial"/>
      </font>
      <fill>
        <patternFill patternType="solid">
          <fgColor rgb="FFFFEB9C"/>
        </patternFill>
      </fill>
    </dxf>
    <dxf>
      <font>
        <color rgb="FF9C5700"/>
        <name val="Arial"/>
      </font>
      <fill>
        <patternFill patternType="solid">
          <fgColor rgb="FFFFEB9C"/>
        </patternFill>
      </fill>
    </dxf>
    <dxf>
      <font>
        <color rgb="FF9C5700"/>
        <name val="Arial"/>
      </font>
      <fill>
        <patternFill patternType="solid">
          <fgColor rgb="FFFFEB9C"/>
        </patternFill>
      </fill>
    </dxf>
    <dxf>
      <font>
        <color rgb="FF006100"/>
        <name val="Arial"/>
      </font>
      <fill>
        <patternFill patternType="solid">
          <fgColor rgb="FFC6EFCE"/>
        </patternFill>
      </fill>
    </dxf>
    <dxf>
      <font>
        <color rgb="FF006100"/>
        <name val="Arial"/>
      </font>
      <fill>
        <patternFill patternType="solid">
          <fgColor rgb="FFC6EFCE"/>
        </patternFill>
      </fill>
    </dxf>
    <dxf>
      <font>
        <color rgb="FF006100"/>
        <name val="Arial"/>
      </font>
      <fill>
        <patternFill patternType="solid">
          <fgColor rgb="FFC6EFCE"/>
        </patternFill>
      </fill>
    </dxf>
    <dxf>
      <font>
        <color rgb="FF9C0006"/>
        <name val="Arial"/>
      </font>
      <fill>
        <patternFill patternType="solid">
          <fgColor rgb="FFFFC7CE"/>
        </patternFill>
      </fill>
    </dxf>
    <dxf>
      <font>
        <color rgb="FF9C5700"/>
        <name val="Arial"/>
      </font>
      <fill>
        <patternFill patternType="solid">
          <fgColor rgb="FFFFEB9C"/>
        </patternFill>
      </fill>
    </dxf>
    <dxf>
      <font>
        <color rgb="FF9C5700"/>
        <name val="Arial"/>
      </font>
      <fill>
        <patternFill patternType="solid">
          <fgColor rgb="FFFFEB9C"/>
        </patternFill>
      </fill>
    </dxf>
    <dxf>
      <font>
        <color rgb="FF9C5700"/>
        <name val="Arial"/>
      </font>
      <fill>
        <patternFill patternType="solid">
          <fgColor rgb="FFFFEB9C"/>
        </patternFill>
      </fill>
    </dxf>
    <dxf>
      <font>
        <color rgb="FF006100"/>
        <name val="Arial"/>
      </font>
      <fill>
        <patternFill patternType="solid">
          <fgColor rgb="FFC6EFCE"/>
        </patternFill>
      </fill>
    </dxf>
    <dxf>
      <font>
        <color rgb="FF006100"/>
        <name val="Arial"/>
      </font>
      <fill>
        <patternFill patternType="solid">
          <fgColor rgb="FFC6EFCE"/>
        </patternFill>
      </fill>
    </dxf>
    <dxf>
      <font>
        <color rgb="FF006100"/>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0"/>
  <sheetViews>
    <sheetView showGridLines="0" tabSelected="1" workbookViewId="0">
      <selection sqref="A1:H1"/>
    </sheetView>
  </sheetViews>
  <sheetFormatPr defaultRowHeight="13.8" x14ac:dyDescent="0.25"/>
  <cols>
    <col min="1" max="1" width="6" customWidth="1"/>
    <col min="2" max="2" width="22" customWidth="1"/>
    <col min="3" max="3" width="58" customWidth="1"/>
    <col min="4" max="5" width="12" customWidth="1"/>
    <col min="6" max="6" width="11" customWidth="1"/>
    <col min="7" max="7" width="15" customWidth="1"/>
    <col min="8" max="8" width="14" customWidth="1"/>
  </cols>
  <sheetData>
    <row r="1" spans="1:8" ht="25.95" customHeight="1" x14ac:dyDescent="0.4">
      <c r="A1" s="32" t="s">
        <v>0</v>
      </c>
      <c r="B1" s="27"/>
      <c r="C1" s="27"/>
      <c r="D1" s="27"/>
      <c r="E1" s="27"/>
      <c r="F1" s="27"/>
      <c r="G1" s="27"/>
      <c r="H1" s="27"/>
    </row>
    <row r="2" spans="1:8" x14ac:dyDescent="0.25">
      <c r="A2" s="31" t="s">
        <v>1</v>
      </c>
      <c r="B2" s="27"/>
      <c r="C2" s="27"/>
      <c r="D2" s="27"/>
      <c r="E2" s="27"/>
      <c r="F2" s="27"/>
      <c r="G2" s="27"/>
      <c r="H2" s="27"/>
    </row>
    <row r="4" spans="1:8" ht="15.6" x14ac:dyDescent="0.25">
      <c r="A4" s="1" t="s">
        <v>2</v>
      </c>
    </row>
    <row r="5" spans="1:8" ht="19.95" customHeight="1" x14ac:dyDescent="0.25">
      <c r="B5" s="28" t="s">
        <v>3</v>
      </c>
      <c r="C5" s="29"/>
      <c r="D5" s="2">
        <f>COUNTA(B14:B25)</f>
        <v>12</v>
      </c>
    </row>
    <row r="6" spans="1:8" ht="19.95" customHeight="1" x14ac:dyDescent="0.25">
      <c r="B6" s="28" t="s">
        <v>4</v>
      </c>
      <c r="C6" s="29"/>
      <c r="D6" s="2">
        <f>D26</f>
        <v>59</v>
      </c>
    </row>
    <row r="7" spans="1:8" ht="19.95" customHeight="1" x14ac:dyDescent="0.25">
      <c r="B7" s="28" t="s">
        <v>5</v>
      </c>
      <c r="C7" s="29"/>
      <c r="D7" s="2">
        <f>E26</f>
        <v>58</v>
      </c>
    </row>
    <row r="8" spans="1:8" ht="19.95" customHeight="1" x14ac:dyDescent="0.25">
      <c r="B8" s="28" t="s">
        <v>6</v>
      </c>
      <c r="C8" s="29"/>
      <c r="D8" s="2">
        <f>F26</f>
        <v>1</v>
      </c>
    </row>
    <row r="9" spans="1:8" ht="19.95" customHeight="1" x14ac:dyDescent="0.25">
      <c r="B9" s="28" t="s">
        <v>7</v>
      </c>
      <c r="C9" s="29"/>
      <c r="D9" s="3">
        <f>G26</f>
        <v>0.9299589111453519</v>
      </c>
    </row>
    <row r="12" spans="1:8" ht="15.6" x14ac:dyDescent="0.25">
      <c r="A12" s="1" t="s">
        <v>8</v>
      </c>
    </row>
    <row r="13" spans="1:8" ht="30" customHeight="1" x14ac:dyDescent="0.25">
      <c r="A13" s="4" t="s">
        <v>9</v>
      </c>
      <c r="B13" s="4" t="s">
        <v>10</v>
      </c>
      <c r="C13" s="4" t="s">
        <v>11</v>
      </c>
      <c r="D13" s="4" t="s">
        <v>4</v>
      </c>
      <c r="E13" s="4" t="s">
        <v>12</v>
      </c>
      <c r="F13" s="4" t="s">
        <v>13</v>
      </c>
      <c r="G13" s="4" t="s">
        <v>14</v>
      </c>
      <c r="H13" s="4" t="s">
        <v>15</v>
      </c>
    </row>
    <row r="14" spans="1:8" ht="34.049999999999997" customHeight="1" x14ac:dyDescent="0.25">
      <c r="A14" s="5">
        <v>1</v>
      </c>
      <c r="B14" s="6" t="s">
        <v>16</v>
      </c>
      <c r="C14" s="7" t="s">
        <v>17</v>
      </c>
      <c r="D14" s="5">
        <f>COUNTIF('Chi tiết chức năng'!$B$5:$B$63,B14)</f>
        <v>1</v>
      </c>
      <c r="E14" s="5">
        <f>COUNTIFS('Chi tiết chức năng'!$B$5:$B$63,B14,'Chi tiết chức năng'!$F$5:$F$63,"&gt;="&amp;0.9)</f>
        <v>1</v>
      </c>
      <c r="F14" s="5">
        <f t="shared" ref="F14:F25" si="0">D14-E14</f>
        <v>0</v>
      </c>
      <c r="G14" s="8">
        <f>IF(D14=0,0,SUMIF('Chi tiết chức năng'!$B$5:$B$63,B14,'Chi tiết chức năng'!$F$5:$F$63)/D14)</f>
        <v>0.97</v>
      </c>
      <c r="H14" s="5" t="str">
        <f t="shared" ref="H14:H26" si="1">IF(F14&gt;0,"Đang làm","Đang hoàn thiện")</f>
        <v>Đang hoàn thiện</v>
      </c>
    </row>
    <row r="15" spans="1:8" ht="34.049999999999997" customHeight="1" x14ac:dyDescent="0.25">
      <c r="A15" s="5">
        <v>2</v>
      </c>
      <c r="B15" s="6" t="s">
        <v>18</v>
      </c>
      <c r="C15" s="7" t="s">
        <v>19</v>
      </c>
      <c r="D15" s="5">
        <f>COUNTIF('Chi tiết chức năng'!$B$5:$B$63,B15)</f>
        <v>6</v>
      </c>
      <c r="E15" s="5">
        <f>COUNTIFS('Chi tiết chức năng'!$B$5:$B$63,B15,'Chi tiết chức năng'!$F$5:$F$63,"&gt;="&amp;0.9)</f>
        <v>6</v>
      </c>
      <c r="F15" s="5">
        <f t="shared" si="0"/>
        <v>0</v>
      </c>
      <c r="G15" s="8">
        <f>IF(D15=0,0,SUMIF('Chi tiết chức năng'!$B$5:$B$63,B15,'Chi tiết chức năng'!$F$5:$F$63)/D15)</f>
        <v>0.93666666666666665</v>
      </c>
      <c r="H15" s="5" t="str">
        <f t="shared" si="1"/>
        <v>Đang hoàn thiện</v>
      </c>
    </row>
    <row r="16" spans="1:8" ht="34.049999999999997" customHeight="1" x14ac:dyDescent="0.25">
      <c r="A16" s="5">
        <v>3</v>
      </c>
      <c r="B16" s="6" t="s">
        <v>20</v>
      </c>
      <c r="C16" s="7" t="s">
        <v>21</v>
      </c>
      <c r="D16" s="5">
        <f>COUNTIF('Chi tiết chức năng'!$B$5:$B$63,B16)</f>
        <v>6</v>
      </c>
      <c r="E16" s="5">
        <f>COUNTIFS('Chi tiết chức năng'!$B$5:$B$63,B16,'Chi tiết chức năng'!$F$5:$F$63,"&gt;="&amp;0.9)</f>
        <v>6</v>
      </c>
      <c r="F16" s="5">
        <f t="shared" si="0"/>
        <v>0</v>
      </c>
      <c r="G16" s="8">
        <f>IF(D16=0,0,SUMIF('Chi tiết chức năng'!$B$5:$B$63,B16,'Chi tiết chức năng'!$F$5:$F$63)/D16)</f>
        <v>0.91833333333333333</v>
      </c>
      <c r="H16" s="5" t="str">
        <f t="shared" si="1"/>
        <v>Đang hoàn thiện</v>
      </c>
    </row>
    <row r="17" spans="1:8" ht="34.049999999999997" customHeight="1" x14ac:dyDescent="0.25">
      <c r="A17" s="5">
        <v>4</v>
      </c>
      <c r="B17" s="6" t="s">
        <v>22</v>
      </c>
      <c r="C17" s="7" t="s">
        <v>23</v>
      </c>
      <c r="D17" s="5">
        <f>COUNTIF('Chi tiết chức năng'!$B$5:$B$63,B17)</f>
        <v>2</v>
      </c>
      <c r="E17" s="5">
        <f>COUNTIFS('Chi tiết chức năng'!$B$5:$B$63,B17,'Chi tiết chức năng'!$F$5:$F$63,"&gt;="&amp;0.9)</f>
        <v>2</v>
      </c>
      <c r="F17" s="5">
        <f t="shared" si="0"/>
        <v>0</v>
      </c>
      <c r="G17" s="8">
        <f>IF(D17=0,0,SUMIF('Chi tiết chức năng'!$B$5:$B$63,B17,'Chi tiết chức năng'!$F$5:$F$63)/D17)</f>
        <v>0.92500000000000004</v>
      </c>
      <c r="H17" s="5" t="str">
        <f t="shared" si="1"/>
        <v>Đang hoàn thiện</v>
      </c>
    </row>
    <row r="18" spans="1:8" ht="21" customHeight="1" x14ac:dyDescent="0.25">
      <c r="A18" s="5">
        <v>5</v>
      </c>
      <c r="B18" s="6" t="s">
        <v>24</v>
      </c>
      <c r="C18" s="7" t="s">
        <v>25</v>
      </c>
      <c r="D18" s="5">
        <f>COUNTIF('Chi tiết chức năng'!$B$5:$B$63,B18)</f>
        <v>2</v>
      </c>
      <c r="E18" s="5">
        <f>COUNTIFS('Chi tiết chức năng'!$B$5:$B$63,B18,'Chi tiết chức năng'!$F$5:$F$63,"&gt;="&amp;0.9)</f>
        <v>2</v>
      </c>
      <c r="F18" s="5">
        <f t="shared" si="0"/>
        <v>0</v>
      </c>
      <c r="G18" s="8">
        <f>IF(D18=0,0,SUMIF('Chi tiết chức năng'!$B$5:$B$63,B18,'Chi tiết chức năng'!$F$5:$F$63)/D18)</f>
        <v>0.97</v>
      </c>
      <c r="H18" s="5" t="str">
        <f t="shared" si="1"/>
        <v>Đang hoàn thiện</v>
      </c>
    </row>
    <row r="19" spans="1:8" ht="34.049999999999997" customHeight="1" x14ac:dyDescent="0.25">
      <c r="A19" s="5">
        <v>6</v>
      </c>
      <c r="B19" s="6" t="s">
        <v>26</v>
      </c>
      <c r="C19" s="7" t="s">
        <v>27</v>
      </c>
      <c r="D19" s="5">
        <f>COUNTIF('Chi tiết chức năng'!$B$5:$B$63,B19)</f>
        <v>3</v>
      </c>
      <c r="E19" s="5">
        <f>COUNTIFS('Chi tiết chức năng'!$B$5:$B$63,B19,'Chi tiết chức năng'!$F$5:$F$63,"&gt;="&amp;0.9)</f>
        <v>3</v>
      </c>
      <c r="F19" s="5">
        <f t="shared" si="0"/>
        <v>0</v>
      </c>
      <c r="G19" s="8">
        <f>IF(D19=0,0,SUMIF('Chi tiết chức năng'!$B$5:$B$63,B19,'Chi tiết chức năng'!$F$5:$F$63)/D19)</f>
        <v>0.91333333333333344</v>
      </c>
      <c r="H19" s="5" t="str">
        <f t="shared" si="1"/>
        <v>Đang hoàn thiện</v>
      </c>
    </row>
    <row r="20" spans="1:8" ht="34.049999999999997" customHeight="1" x14ac:dyDescent="0.25">
      <c r="A20" s="5">
        <v>7</v>
      </c>
      <c r="B20" s="6" t="s">
        <v>28</v>
      </c>
      <c r="C20" s="7" t="s">
        <v>29</v>
      </c>
      <c r="D20" s="5">
        <f>COUNTIF('Chi tiết chức năng'!$B$5:$B$63,B20)</f>
        <v>7</v>
      </c>
      <c r="E20" s="5">
        <f>COUNTIFS('Chi tiết chức năng'!$B$5:$B$63,B20,'Chi tiết chức năng'!$F$5:$F$63,"&gt;="&amp;0.9)</f>
        <v>7</v>
      </c>
      <c r="F20" s="5">
        <f t="shared" si="0"/>
        <v>0</v>
      </c>
      <c r="G20" s="8">
        <f>IF(D20=0,0,SUMIF('Chi tiết chức năng'!$B$5:$B$63,B20,'Chi tiết chức năng'!$F$5:$F$63)/D20)</f>
        <v>0.94857142857142851</v>
      </c>
      <c r="H20" s="5" t="str">
        <f t="shared" si="1"/>
        <v>Đang hoàn thiện</v>
      </c>
    </row>
    <row r="21" spans="1:8" ht="34.049999999999997" customHeight="1" x14ac:dyDescent="0.25">
      <c r="A21" s="5">
        <v>8</v>
      </c>
      <c r="B21" s="6" t="s">
        <v>30</v>
      </c>
      <c r="C21" s="7" t="s">
        <v>31</v>
      </c>
      <c r="D21" s="5">
        <f>COUNTIF('Chi tiết chức năng'!$B$5:$B$63,B21)</f>
        <v>2</v>
      </c>
      <c r="E21" s="5">
        <f>COUNTIFS('Chi tiết chức năng'!$B$5:$B$63,B21,'Chi tiết chức năng'!$F$5:$F$63,"&gt;="&amp;0.9)</f>
        <v>2</v>
      </c>
      <c r="F21" s="5">
        <f t="shared" si="0"/>
        <v>0</v>
      </c>
      <c r="G21" s="8">
        <f>IF(D21=0,0,SUMIF('Chi tiết chức năng'!$B$5:$B$63,B21,'Chi tiết chức năng'!$F$5:$F$63)/D21)</f>
        <v>0.97</v>
      </c>
      <c r="H21" s="5" t="str">
        <f t="shared" si="1"/>
        <v>Đang hoàn thiện</v>
      </c>
    </row>
    <row r="22" spans="1:8" ht="34.049999999999997" customHeight="1" x14ac:dyDescent="0.25">
      <c r="A22" s="5">
        <v>9</v>
      </c>
      <c r="B22" s="6" t="s">
        <v>32</v>
      </c>
      <c r="C22" s="7" t="s">
        <v>33</v>
      </c>
      <c r="D22" s="5">
        <f>COUNTIF('Chi tiết chức năng'!$B$5:$B$63,B22)</f>
        <v>4</v>
      </c>
      <c r="E22" s="5">
        <f>COUNTIFS('Chi tiết chức năng'!$B$5:$B$63,B22,'Chi tiết chức năng'!$F$5:$F$63,"&gt;="&amp;0.9)</f>
        <v>4</v>
      </c>
      <c r="F22" s="5">
        <f t="shared" si="0"/>
        <v>0</v>
      </c>
      <c r="G22" s="8">
        <f>IF(D22=0,0,SUMIF('Chi tiết chức năng'!$B$5:$B$63,B22,'Chi tiết chức năng'!$F$5:$F$63)/D22)</f>
        <v>0.95499999999999996</v>
      </c>
      <c r="H22" s="5" t="str">
        <f t="shared" si="1"/>
        <v>Đang hoàn thiện</v>
      </c>
    </row>
    <row r="23" spans="1:8" ht="34.049999999999997" customHeight="1" x14ac:dyDescent="0.25">
      <c r="A23" s="5">
        <v>10</v>
      </c>
      <c r="B23" s="6" t="s">
        <v>34</v>
      </c>
      <c r="C23" s="7" t="s">
        <v>35</v>
      </c>
      <c r="D23" s="5">
        <f>COUNTIF('Chi tiết chức năng'!$B$5:$B$63,B23)</f>
        <v>11</v>
      </c>
      <c r="E23" s="5">
        <f>COUNTIFS('Chi tiết chức năng'!$B$5:$B$63,B23,'Chi tiết chức năng'!$F$5:$F$63,"&gt;="&amp;0.9)</f>
        <v>11</v>
      </c>
      <c r="F23" s="5">
        <f t="shared" si="0"/>
        <v>0</v>
      </c>
      <c r="G23" s="8">
        <f>IF(D23=0,0,SUMIF('Chi tiết chức năng'!$B$5:$B$63,B23,'Chi tiết chức năng'!$F$5:$F$63)/D23)</f>
        <v>0.93454545454545468</v>
      </c>
      <c r="H23" s="5" t="str">
        <f t="shared" si="1"/>
        <v>Đang hoàn thiện</v>
      </c>
    </row>
    <row r="24" spans="1:8" ht="34.049999999999997" customHeight="1" x14ac:dyDescent="0.25">
      <c r="A24" s="5">
        <v>11</v>
      </c>
      <c r="B24" s="6" t="s">
        <v>36</v>
      </c>
      <c r="C24" s="7" t="s">
        <v>37</v>
      </c>
      <c r="D24" s="5">
        <f>COUNTIF('Chi tiết chức năng'!$B$5:$B$63,B24)</f>
        <v>13</v>
      </c>
      <c r="E24" s="5">
        <f>COUNTIFS('Chi tiết chức năng'!$B$5:$B$63,B24,'Chi tiết chức năng'!$F$5:$F$63,"&gt;="&amp;0.9)</f>
        <v>12</v>
      </c>
      <c r="F24" s="5">
        <f t="shared" si="0"/>
        <v>1</v>
      </c>
      <c r="G24" s="8">
        <f>IF(D24=0,0,SUMIF('Chi tiết chức năng'!$B$5:$B$63,B24,'Chi tiết chức năng'!$F$5:$F$63)/D24)</f>
        <v>0.90135198135198147</v>
      </c>
      <c r="H24" s="5" t="str">
        <f t="shared" si="1"/>
        <v>Đang làm</v>
      </c>
    </row>
    <row r="25" spans="1:8" ht="34.049999999999997" customHeight="1" x14ac:dyDescent="0.25">
      <c r="A25" s="5">
        <v>12</v>
      </c>
      <c r="B25" s="6" t="s">
        <v>38</v>
      </c>
      <c r="C25" s="7" t="s">
        <v>39</v>
      </c>
      <c r="D25" s="5">
        <f>COUNTIF('Chi tiết chức năng'!$B$5:$B$63,B25)</f>
        <v>2</v>
      </c>
      <c r="E25" s="5">
        <f>COUNTIFS('Chi tiết chức năng'!$B$5:$B$63,B25,'Chi tiết chức năng'!$F$5:$F$63,"&gt;="&amp;0.9)</f>
        <v>2</v>
      </c>
      <c r="F25" s="5">
        <f t="shared" si="0"/>
        <v>0</v>
      </c>
      <c r="G25" s="8">
        <f>IF(D25=0,0,SUMIF('Chi tiết chức năng'!$B$5:$B$63,B25,'Chi tiết chức năng'!$F$5:$F$63)/D25)</f>
        <v>0.91999999999999993</v>
      </c>
      <c r="H25" s="5" t="str">
        <f t="shared" si="1"/>
        <v>Đang hoàn thiện</v>
      </c>
    </row>
    <row r="26" spans="1:8" ht="22.05" customHeight="1" x14ac:dyDescent="0.25">
      <c r="A26" s="9"/>
      <c r="B26" s="10" t="s">
        <v>40</v>
      </c>
      <c r="C26" s="9"/>
      <c r="D26" s="11">
        <f>SUM(D14:D25)</f>
        <v>59</v>
      </c>
      <c r="E26" s="11">
        <f>SUM(E14:E25)</f>
        <v>58</v>
      </c>
      <c r="F26" s="11">
        <f>SUM(F14:F25)</f>
        <v>1</v>
      </c>
      <c r="G26" s="12">
        <f>IF(D26=0,0,SUMPRODUCT(D14:D25,G14:G25)/D26)</f>
        <v>0.9299589111453519</v>
      </c>
      <c r="H26" s="11" t="str">
        <f t="shared" si="1"/>
        <v>Đang làm</v>
      </c>
    </row>
    <row r="28" spans="1:8" ht="15.6" x14ac:dyDescent="0.25">
      <c r="A28" s="1" t="s">
        <v>41</v>
      </c>
    </row>
    <row r="29" spans="1:8" ht="25.65" customHeight="1" x14ac:dyDescent="0.25">
      <c r="A29" s="13">
        <v>1</v>
      </c>
      <c r="B29" s="30" t="str">
        <f>"Đã có "&amp;E26&amp;"/"&amp;D26&amp;" chức năng của "&amp;D5&amp;" phân hệ chạy được trên hệ thống, tiến độ chung "&amp;FIXED(G26*100,1)&amp;"%."</f>
        <v>Đã có 58/59 chức năng của 12 phân hệ chạy được trên hệ thống, tiến độ chung 93,0%.</v>
      </c>
      <c r="C29" s="27"/>
      <c r="D29" s="27"/>
      <c r="E29" s="27"/>
      <c r="F29" s="27"/>
      <c r="G29" s="27"/>
      <c r="H29" s="27"/>
    </row>
    <row r="30" spans="1:8" ht="25.65" customHeight="1" x14ac:dyDescent="0.25">
      <c r="A30" s="13">
        <v>2</v>
      </c>
      <c r="B30" s="30" t="str">
        <f>COUNTIF(H14:H25,"Đang hoàn thiện")&amp;"/"&amp;D5&amp;" phân hệ đã chạy đủ chức năng, đang kiểm thử và hoàn thiện. Phân hệ còn chức năng đang làm là Nhân sự &amp; Lương ("&amp;FIXED(G24*100,1)&amp;"%), do còn phần tính lương khoán."</f>
        <v>11/12 phân hệ đã chạy đủ chức năng, đang kiểm thử và hoàn thiện. Phân hệ còn chức năng đang làm là Nhân sự &amp; Lương (90,1%), do còn phần tính lương khoán.</v>
      </c>
      <c r="C30" s="27"/>
      <c r="D30" s="27"/>
      <c r="E30" s="27"/>
      <c r="F30" s="27"/>
      <c r="G30" s="27"/>
      <c r="H30" s="27"/>
    </row>
    <row r="31" spans="1:8" ht="25.65" customHeight="1" x14ac:dyDescent="0.25">
      <c r="A31" s="13">
        <v>3</v>
      </c>
      <c r="B31" s="30" t="str">
        <f>"Tính lương khoán hiện đạt khoảng "&amp;FIXED('Lương khoán'!$E$24*100,0)&amp;"% (chi tiết ở sheet Lương khoán)."</f>
        <v>Tính lương khoán hiện đạt khoảng 56% (chi tiết ở sheet Lương khoán).</v>
      </c>
      <c r="C31" s="27"/>
      <c r="D31" s="27"/>
      <c r="E31" s="27"/>
      <c r="F31" s="27"/>
      <c r="G31" s="27"/>
      <c r="H31" s="27"/>
    </row>
    <row r="32" spans="1:8" ht="34.049999999999997" customHeight="1" x14ac:dyDescent="0.25">
      <c r="A32" s="13">
        <v>4</v>
      </c>
      <c r="B32" s="30" t="s">
        <v>42</v>
      </c>
      <c r="C32" s="27"/>
      <c r="D32" s="27"/>
      <c r="E32" s="27"/>
      <c r="F32" s="27"/>
      <c r="G32" s="27"/>
      <c r="H32" s="27"/>
    </row>
    <row r="33" spans="1:8" ht="34.049999999999997" customHeight="1" x14ac:dyDescent="0.25">
      <c r="A33" s="13">
        <v>5</v>
      </c>
      <c r="B33" s="30" t="s">
        <v>43</v>
      </c>
      <c r="C33" s="27"/>
      <c r="D33" s="27"/>
      <c r="E33" s="27"/>
      <c r="F33" s="27"/>
      <c r="G33" s="27"/>
      <c r="H33" s="27"/>
    </row>
    <row r="35" spans="1:8" ht="15.6" x14ac:dyDescent="0.25">
      <c r="A35" s="1" t="s">
        <v>44</v>
      </c>
    </row>
    <row r="36" spans="1:8" ht="31.95" customHeight="1" x14ac:dyDescent="0.25">
      <c r="A36" s="13" t="s">
        <v>45</v>
      </c>
      <c r="B36" s="26" t="s">
        <v>46</v>
      </c>
      <c r="C36" s="27"/>
      <c r="D36" s="27"/>
      <c r="E36" s="27"/>
      <c r="F36" s="27"/>
      <c r="G36" s="27"/>
      <c r="H36" s="27"/>
    </row>
    <row r="37" spans="1:8" ht="31.95" customHeight="1" x14ac:dyDescent="0.25">
      <c r="A37" s="13" t="s">
        <v>45</v>
      </c>
      <c r="B37" s="26" t="s">
        <v>47</v>
      </c>
      <c r="C37" s="27"/>
      <c r="D37" s="27"/>
      <c r="E37" s="27"/>
      <c r="F37" s="27"/>
      <c r="G37" s="27"/>
      <c r="H37" s="27"/>
    </row>
    <row r="38" spans="1:8" ht="18" customHeight="1" x14ac:dyDescent="0.25">
      <c r="A38" s="13" t="s">
        <v>45</v>
      </c>
      <c r="B38" s="26" t="s">
        <v>48</v>
      </c>
      <c r="C38" s="27"/>
      <c r="D38" s="27"/>
      <c r="E38" s="27"/>
      <c r="F38" s="27"/>
      <c r="G38" s="27"/>
      <c r="H38" s="27"/>
    </row>
    <row r="39" spans="1:8" ht="18" customHeight="1" x14ac:dyDescent="0.25">
      <c r="A39" s="13" t="s">
        <v>45</v>
      </c>
      <c r="B39" s="26" t="s">
        <v>49</v>
      </c>
      <c r="C39" s="27"/>
      <c r="D39" s="27"/>
      <c r="E39" s="27"/>
      <c r="F39" s="27"/>
      <c r="G39" s="27"/>
      <c r="H39" s="27"/>
    </row>
    <row r="40" spans="1:8" ht="18" customHeight="1" x14ac:dyDescent="0.25">
      <c r="A40" s="13" t="s">
        <v>45</v>
      </c>
      <c r="B40" s="26" t="s">
        <v>50</v>
      </c>
      <c r="C40" s="27"/>
      <c r="D40" s="27"/>
      <c r="E40" s="27"/>
      <c r="F40" s="27"/>
      <c r="G40" s="27"/>
      <c r="H40" s="27"/>
    </row>
  </sheetData>
  <mergeCells count="17">
    <mergeCell ref="A1:H1"/>
    <mergeCell ref="B9:C9"/>
    <mergeCell ref="B8:C8"/>
    <mergeCell ref="B37:H37"/>
    <mergeCell ref="B31:H31"/>
    <mergeCell ref="B5:C5"/>
    <mergeCell ref="A2:H2"/>
    <mergeCell ref="B39:H39"/>
    <mergeCell ref="B30:H30"/>
    <mergeCell ref="B38:H38"/>
    <mergeCell ref="B29:H29"/>
    <mergeCell ref="B33:H33"/>
    <mergeCell ref="B36:H36"/>
    <mergeCell ref="B6:C6"/>
    <mergeCell ref="B32:H32"/>
    <mergeCell ref="B40:H40"/>
    <mergeCell ref="B7:C7"/>
  </mergeCells>
  <conditionalFormatting sqref="D9">
    <cfRule type="dataBar" priority="1">
      <dataBar>
        <cfvo type="num" val="0"/>
        <cfvo type="num" val="1"/>
        <color rgb="FF5B9BD5"/>
      </dataBar>
    </cfRule>
  </conditionalFormatting>
  <conditionalFormatting sqref="G14:G26">
    <cfRule type="dataBar" priority="2">
      <dataBar>
        <cfvo type="num" val="0"/>
        <cfvo type="num" val="1"/>
        <color rgb="FF5B9BD5"/>
      </dataBar>
    </cfRule>
  </conditionalFormatting>
  <conditionalFormatting sqref="H14:H26">
    <cfRule type="cellIs" dxfId="20" priority="3" operator="equal">
      <formula>"Hoàn thành"</formula>
    </cfRule>
    <cfRule type="cellIs" dxfId="19" priority="4" operator="equal">
      <formula>"Đang hoàn thiện"</formula>
    </cfRule>
    <cfRule type="cellIs" dxfId="18" priority="5" operator="equal">
      <formula>"Đã xong"</formula>
    </cfRule>
    <cfRule type="cellIs" dxfId="17" priority="6" operator="equal">
      <formula>"Gần xong"</formula>
    </cfRule>
    <cfRule type="cellIs" dxfId="16" priority="7" operator="equal">
      <formula>"Đang làm"</formula>
    </cfRule>
    <cfRule type="cellIs" dxfId="15" priority="8" operator="equal">
      <formula>"Làm dở"</formula>
    </cfRule>
    <cfRule type="cellIs" dxfId="14" priority="9" operator="equal">
      <formula>"Chưa làm"</formula>
    </cfRule>
  </conditionalFormatting>
  <printOptions horizontalCentered="1"/>
  <pageMargins left="0.4" right="0.4"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3"/>
  <sheetViews>
    <sheetView showGridLines="0" workbookViewId="0">
      <pane xSplit="3" ySplit="4" topLeftCell="D5" activePane="bottomRight" state="frozen"/>
      <selection pane="topRight"/>
      <selection pane="bottomLeft"/>
      <selection pane="bottomRight"/>
    </sheetView>
  </sheetViews>
  <sheetFormatPr defaultRowHeight="13.8" x14ac:dyDescent="0.25"/>
  <cols>
    <col min="1" max="1" width="5" customWidth="1"/>
    <col min="2" max="2" width="17" customWidth="1"/>
    <col min="3" max="3" width="24" customWidth="1"/>
    <col min="4" max="4" width="22" customWidth="1"/>
    <col min="5" max="5" width="72" customWidth="1"/>
    <col min="6" max="6" width="11" customWidth="1"/>
    <col min="7" max="7" width="12" customWidth="1"/>
    <col min="8" max="8" width="30" customWidth="1"/>
  </cols>
  <sheetData>
    <row r="1" spans="1:8" ht="25.95" customHeight="1" x14ac:dyDescent="0.4">
      <c r="A1" s="32" t="s">
        <v>51</v>
      </c>
      <c r="B1" s="27"/>
      <c r="C1" s="27"/>
      <c r="D1" s="27"/>
      <c r="E1" s="27"/>
      <c r="F1" s="27"/>
      <c r="G1" s="27"/>
      <c r="H1" s="27"/>
    </row>
    <row r="2" spans="1:8" x14ac:dyDescent="0.25">
      <c r="A2" s="31" t="s">
        <v>52</v>
      </c>
      <c r="B2" s="27"/>
      <c r="C2" s="27"/>
      <c r="D2" s="27"/>
      <c r="E2" s="27"/>
      <c r="F2" s="27"/>
      <c r="G2" s="27"/>
      <c r="H2" s="27"/>
    </row>
    <row r="4" spans="1:8" ht="30" customHeight="1" x14ac:dyDescent="0.25">
      <c r="A4" s="4" t="s">
        <v>9</v>
      </c>
      <c r="B4" s="4" t="s">
        <v>10</v>
      </c>
      <c r="C4" s="4" t="s">
        <v>53</v>
      </c>
      <c r="D4" s="4" t="s">
        <v>54</v>
      </c>
      <c r="E4" s="4" t="s">
        <v>55</v>
      </c>
      <c r="F4" s="4" t="s">
        <v>14</v>
      </c>
      <c r="G4" s="4" t="s">
        <v>15</v>
      </c>
      <c r="H4" s="4" t="s">
        <v>56</v>
      </c>
    </row>
    <row r="5" spans="1:8" ht="73.05" customHeight="1" x14ac:dyDescent="0.25">
      <c r="A5" s="5">
        <v>1</v>
      </c>
      <c r="B5" s="6" t="s">
        <v>16</v>
      </c>
      <c r="C5" s="7" t="s">
        <v>57</v>
      </c>
      <c r="D5" s="7" t="s">
        <v>58</v>
      </c>
      <c r="E5" s="14" t="s">
        <v>59</v>
      </c>
      <c r="F5" s="15">
        <v>0.97</v>
      </c>
      <c r="G5" s="5" t="str">
        <f t="shared" ref="G5:G36" si="0">IF(F5&gt;=0.9,"Đang hoàn thiện",IF(F5&gt;0,"Đang làm","Chưa làm"))</f>
        <v>Đang hoàn thiện</v>
      </c>
      <c r="H5" s="7"/>
    </row>
    <row r="6" spans="1:8" ht="60" customHeight="1" x14ac:dyDescent="0.25">
      <c r="A6" s="16">
        <v>2</v>
      </c>
      <c r="B6" s="17" t="s">
        <v>18</v>
      </c>
      <c r="C6" s="18" t="s">
        <v>60</v>
      </c>
      <c r="D6" s="18" t="s">
        <v>61</v>
      </c>
      <c r="E6" s="19" t="s">
        <v>62</v>
      </c>
      <c r="F6" s="20">
        <v>0.93</v>
      </c>
      <c r="G6" s="16" t="str">
        <f t="shared" si="0"/>
        <v>Đang hoàn thiện</v>
      </c>
      <c r="H6" s="18"/>
    </row>
    <row r="7" spans="1:8" ht="85.95" customHeight="1" x14ac:dyDescent="0.25">
      <c r="A7" s="5">
        <v>3</v>
      </c>
      <c r="B7" s="7" t="s">
        <v>18</v>
      </c>
      <c r="C7" s="7" t="s">
        <v>63</v>
      </c>
      <c r="D7" s="7" t="s">
        <v>18</v>
      </c>
      <c r="E7" s="14" t="s">
        <v>64</v>
      </c>
      <c r="F7" s="15">
        <v>0.95</v>
      </c>
      <c r="G7" s="5" t="str">
        <f t="shared" si="0"/>
        <v>Đang hoàn thiện</v>
      </c>
      <c r="H7" s="7"/>
    </row>
    <row r="8" spans="1:8" ht="85.95" customHeight="1" x14ac:dyDescent="0.25">
      <c r="A8" s="5">
        <v>4</v>
      </c>
      <c r="B8" s="7" t="s">
        <v>18</v>
      </c>
      <c r="C8" s="7" t="s">
        <v>65</v>
      </c>
      <c r="D8" s="7" t="s">
        <v>66</v>
      </c>
      <c r="E8" s="14" t="s">
        <v>67</v>
      </c>
      <c r="F8" s="15">
        <v>0.97</v>
      </c>
      <c r="G8" s="5" t="str">
        <f t="shared" si="0"/>
        <v>Đang hoàn thiện</v>
      </c>
      <c r="H8" s="7"/>
    </row>
    <row r="9" spans="1:8" ht="85.95" customHeight="1" x14ac:dyDescent="0.25">
      <c r="A9" s="5">
        <v>5</v>
      </c>
      <c r="B9" s="7" t="s">
        <v>18</v>
      </c>
      <c r="C9" s="7" t="s">
        <v>68</v>
      </c>
      <c r="D9" s="7" t="s">
        <v>69</v>
      </c>
      <c r="E9" s="14" t="s">
        <v>70</v>
      </c>
      <c r="F9" s="15">
        <v>0.91</v>
      </c>
      <c r="G9" s="5" t="str">
        <f t="shared" si="0"/>
        <v>Đang hoàn thiện</v>
      </c>
      <c r="H9" s="7"/>
    </row>
    <row r="10" spans="1:8" ht="85.95" customHeight="1" x14ac:dyDescent="0.25">
      <c r="A10" s="5">
        <v>6</v>
      </c>
      <c r="B10" s="7" t="s">
        <v>18</v>
      </c>
      <c r="C10" s="7" t="s">
        <v>71</v>
      </c>
      <c r="D10" s="7" t="s">
        <v>72</v>
      </c>
      <c r="E10" s="14" t="s">
        <v>73</v>
      </c>
      <c r="F10" s="15">
        <v>0.96</v>
      </c>
      <c r="G10" s="5" t="str">
        <f t="shared" si="0"/>
        <v>Đang hoàn thiện</v>
      </c>
      <c r="H10" s="7"/>
    </row>
    <row r="11" spans="1:8" ht="85.95" customHeight="1" x14ac:dyDescent="0.25">
      <c r="A11" s="5">
        <v>7</v>
      </c>
      <c r="B11" s="7" t="s">
        <v>18</v>
      </c>
      <c r="C11" s="7" t="s">
        <v>74</v>
      </c>
      <c r="D11" s="7" t="s">
        <v>75</v>
      </c>
      <c r="E11" s="14" t="s">
        <v>76</v>
      </c>
      <c r="F11" s="15">
        <v>0.9</v>
      </c>
      <c r="G11" s="5" t="str">
        <f t="shared" si="0"/>
        <v>Đang hoàn thiện</v>
      </c>
      <c r="H11" s="7"/>
    </row>
    <row r="12" spans="1:8" ht="85.95" customHeight="1" x14ac:dyDescent="0.25">
      <c r="A12" s="16">
        <v>8</v>
      </c>
      <c r="B12" s="17" t="s">
        <v>20</v>
      </c>
      <c r="C12" s="18" t="s">
        <v>77</v>
      </c>
      <c r="D12" s="18" t="s">
        <v>78</v>
      </c>
      <c r="E12" s="19" t="s">
        <v>79</v>
      </c>
      <c r="F12" s="20">
        <v>0.93</v>
      </c>
      <c r="G12" s="16" t="str">
        <f t="shared" si="0"/>
        <v>Đang hoàn thiện</v>
      </c>
      <c r="H12" s="18"/>
    </row>
    <row r="13" spans="1:8" ht="73.05" customHeight="1" x14ac:dyDescent="0.25">
      <c r="A13" s="5">
        <v>9</v>
      </c>
      <c r="B13" s="7" t="s">
        <v>20</v>
      </c>
      <c r="C13" s="7" t="s">
        <v>80</v>
      </c>
      <c r="D13" s="7" t="s">
        <v>81</v>
      </c>
      <c r="E13" s="14" t="s">
        <v>82</v>
      </c>
      <c r="F13" s="15">
        <v>0.91</v>
      </c>
      <c r="G13" s="5" t="str">
        <f t="shared" si="0"/>
        <v>Đang hoàn thiện</v>
      </c>
      <c r="H13" s="7" t="s">
        <v>83</v>
      </c>
    </row>
    <row r="14" spans="1:8" ht="73.05" customHeight="1" x14ac:dyDescent="0.25">
      <c r="A14" s="5">
        <v>10</v>
      </c>
      <c r="B14" s="7" t="s">
        <v>20</v>
      </c>
      <c r="C14" s="7" t="s">
        <v>84</v>
      </c>
      <c r="D14" s="7" t="s">
        <v>85</v>
      </c>
      <c r="E14" s="14" t="s">
        <v>86</v>
      </c>
      <c r="F14" s="15">
        <v>0.9</v>
      </c>
      <c r="G14" s="5" t="str">
        <f t="shared" si="0"/>
        <v>Đang hoàn thiện</v>
      </c>
      <c r="H14" s="7" t="s">
        <v>87</v>
      </c>
    </row>
    <row r="15" spans="1:8" ht="73.05" customHeight="1" x14ac:dyDescent="0.25">
      <c r="A15" s="5">
        <v>11</v>
      </c>
      <c r="B15" s="7" t="s">
        <v>20</v>
      </c>
      <c r="C15" s="7" t="s">
        <v>88</v>
      </c>
      <c r="D15" s="7" t="s">
        <v>89</v>
      </c>
      <c r="E15" s="14" t="s">
        <v>90</v>
      </c>
      <c r="F15" s="15">
        <v>0.93</v>
      </c>
      <c r="G15" s="5" t="str">
        <f t="shared" si="0"/>
        <v>Đang hoàn thiện</v>
      </c>
      <c r="H15" s="7"/>
    </row>
    <row r="16" spans="1:8" ht="73.05" customHeight="1" x14ac:dyDescent="0.25">
      <c r="A16" s="5">
        <v>12</v>
      </c>
      <c r="B16" s="7" t="s">
        <v>20</v>
      </c>
      <c r="C16" s="7" t="s">
        <v>91</v>
      </c>
      <c r="D16" s="7" t="s">
        <v>92</v>
      </c>
      <c r="E16" s="14" t="s">
        <v>93</v>
      </c>
      <c r="F16" s="15">
        <v>0.91</v>
      </c>
      <c r="G16" s="5" t="str">
        <f t="shared" si="0"/>
        <v>Đang hoàn thiện</v>
      </c>
      <c r="H16" s="7"/>
    </row>
    <row r="17" spans="1:8" ht="85.95" customHeight="1" x14ac:dyDescent="0.25">
      <c r="A17" s="5">
        <v>13</v>
      </c>
      <c r="B17" s="7" t="s">
        <v>20</v>
      </c>
      <c r="C17" s="7" t="s">
        <v>94</v>
      </c>
      <c r="D17" s="7" t="s">
        <v>95</v>
      </c>
      <c r="E17" s="14" t="s">
        <v>96</v>
      </c>
      <c r="F17" s="15">
        <v>0.93</v>
      </c>
      <c r="G17" s="5" t="str">
        <f t="shared" si="0"/>
        <v>Đang hoàn thiện</v>
      </c>
      <c r="H17" s="7"/>
    </row>
    <row r="18" spans="1:8" ht="85.95" customHeight="1" x14ac:dyDescent="0.25">
      <c r="A18" s="16">
        <v>14</v>
      </c>
      <c r="B18" s="17" t="s">
        <v>22</v>
      </c>
      <c r="C18" s="18" t="s">
        <v>97</v>
      </c>
      <c r="D18" s="18" t="s">
        <v>98</v>
      </c>
      <c r="E18" s="19" t="s">
        <v>99</v>
      </c>
      <c r="F18" s="20">
        <v>0.92</v>
      </c>
      <c r="G18" s="16" t="str">
        <f t="shared" si="0"/>
        <v>Đang hoàn thiện</v>
      </c>
      <c r="H18" s="18"/>
    </row>
    <row r="19" spans="1:8" ht="73.05" customHeight="1" x14ac:dyDescent="0.25">
      <c r="A19" s="5">
        <v>15</v>
      </c>
      <c r="B19" s="7" t="s">
        <v>22</v>
      </c>
      <c r="C19" s="7" t="s">
        <v>100</v>
      </c>
      <c r="D19" s="7" t="s">
        <v>101</v>
      </c>
      <c r="E19" s="14" t="s">
        <v>102</v>
      </c>
      <c r="F19" s="15">
        <v>0.93</v>
      </c>
      <c r="G19" s="5" t="str">
        <f t="shared" si="0"/>
        <v>Đang hoàn thiện</v>
      </c>
      <c r="H19" s="7" t="s">
        <v>103</v>
      </c>
    </row>
    <row r="20" spans="1:8" ht="73.05" customHeight="1" x14ac:dyDescent="0.25">
      <c r="A20" s="16">
        <v>16</v>
      </c>
      <c r="B20" s="17" t="s">
        <v>24</v>
      </c>
      <c r="C20" s="18" t="s">
        <v>104</v>
      </c>
      <c r="D20" s="18" t="s">
        <v>105</v>
      </c>
      <c r="E20" s="19" t="s">
        <v>106</v>
      </c>
      <c r="F20" s="20">
        <v>0.97</v>
      </c>
      <c r="G20" s="16" t="str">
        <f t="shared" si="0"/>
        <v>Đang hoàn thiện</v>
      </c>
      <c r="H20" s="18"/>
    </row>
    <row r="21" spans="1:8" ht="73.05" customHeight="1" x14ac:dyDescent="0.25">
      <c r="A21" s="5">
        <v>17</v>
      </c>
      <c r="B21" s="7" t="s">
        <v>24</v>
      </c>
      <c r="C21" s="7" t="s">
        <v>107</v>
      </c>
      <c r="D21" s="7" t="s">
        <v>108</v>
      </c>
      <c r="E21" s="14" t="s">
        <v>109</v>
      </c>
      <c r="F21" s="15">
        <v>0.97</v>
      </c>
      <c r="G21" s="5" t="str">
        <f t="shared" si="0"/>
        <v>Đang hoàn thiện</v>
      </c>
      <c r="H21" s="7"/>
    </row>
    <row r="22" spans="1:8" ht="73.05" customHeight="1" x14ac:dyDescent="0.25">
      <c r="A22" s="16">
        <v>18</v>
      </c>
      <c r="B22" s="17" t="s">
        <v>26</v>
      </c>
      <c r="C22" s="18" t="s">
        <v>110</v>
      </c>
      <c r="D22" s="18" t="s">
        <v>111</v>
      </c>
      <c r="E22" s="19" t="s">
        <v>112</v>
      </c>
      <c r="F22" s="20">
        <v>0.92</v>
      </c>
      <c r="G22" s="16" t="str">
        <f t="shared" si="0"/>
        <v>Đang hoàn thiện</v>
      </c>
      <c r="H22" s="18"/>
    </row>
    <row r="23" spans="1:8" ht="85.95" customHeight="1" x14ac:dyDescent="0.25">
      <c r="A23" s="5">
        <v>19</v>
      </c>
      <c r="B23" s="7" t="s">
        <v>26</v>
      </c>
      <c r="C23" s="7" t="s">
        <v>113</v>
      </c>
      <c r="D23" s="7" t="s">
        <v>114</v>
      </c>
      <c r="E23" s="14" t="s">
        <v>115</v>
      </c>
      <c r="F23" s="15">
        <v>0.9</v>
      </c>
      <c r="G23" s="5" t="str">
        <f t="shared" si="0"/>
        <v>Đang hoàn thiện</v>
      </c>
      <c r="H23" s="7"/>
    </row>
    <row r="24" spans="1:8" ht="73.05" customHeight="1" x14ac:dyDescent="0.25">
      <c r="A24" s="5">
        <v>20</v>
      </c>
      <c r="B24" s="7" t="s">
        <v>26</v>
      </c>
      <c r="C24" s="7" t="s">
        <v>116</v>
      </c>
      <c r="D24" s="7" t="s">
        <v>117</v>
      </c>
      <c r="E24" s="14" t="s">
        <v>118</v>
      </c>
      <c r="F24" s="15">
        <v>0.92</v>
      </c>
      <c r="G24" s="5" t="str">
        <f t="shared" si="0"/>
        <v>Đang hoàn thiện</v>
      </c>
      <c r="H24" s="7"/>
    </row>
    <row r="25" spans="1:8" ht="60" customHeight="1" x14ac:dyDescent="0.25">
      <c r="A25" s="16">
        <v>21</v>
      </c>
      <c r="B25" s="17" t="s">
        <v>28</v>
      </c>
      <c r="C25" s="18" t="s">
        <v>119</v>
      </c>
      <c r="D25" s="18" t="s">
        <v>120</v>
      </c>
      <c r="E25" s="19" t="s">
        <v>121</v>
      </c>
      <c r="F25" s="20">
        <v>0.93</v>
      </c>
      <c r="G25" s="16" t="str">
        <f t="shared" si="0"/>
        <v>Đang hoàn thiện</v>
      </c>
      <c r="H25" s="18"/>
    </row>
    <row r="26" spans="1:8" ht="73.05" customHeight="1" x14ac:dyDescent="0.25">
      <c r="A26" s="5">
        <v>22</v>
      </c>
      <c r="B26" s="7" t="s">
        <v>28</v>
      </c>
      <c r="C26" s="7" t="s">
        <v>122</v>
      </c>
      <c r="D26" s="7" t="s">
        <v>123</v>
      </c>
      <c r="E26" s="14" t="s">
        <v>124</v>
      </c>
      <c r="F26" s="15">
        <v>0.92</v>
      </c>
      <c r="G26" s="5" t="str">
        <f t="shared" si="0"/>
        <v>Đang hoàn thiện</v>
      </c>
      <c r="H26" s="7"/>
    </row>
    <row r="27" spans="1:8" ht="60" customHeight="1" x14ac:dyDescent="0.25">
      <c r="A27" s="5">
        <v>23</v>
      </c>
      <c r="B27" s="7" t="s">
        <v>28</v>
      </c>
      <c r="C27" s="7" t="s">
        <v>125</v>
      </c>
      <c r="D27" s="7" t="s">
        <v>126</v>
      </c>
      <c r="E27" s="14" t="s">
        <v>127</v>
      </c>
      <c r="F27" s="15">
        <v>0.95</v>
      </c>
      <c r="G27" s="5" t="str">
        <f t="shared" si="0"/>
        <v>Đang hoàn thiện</v>
      </c>
      <c r="H27" s="7"/>
    </row>
    <row r="28" spans="1:8" ht="60" customHeight="1" x14ac:dyDescent="0.25">
      <c r="A28" s="5">
        <v>24</v>
      </c>
      <c r="B28" s="7" t="s">
        <v>28</v>
      </c>
      <c r="C28" s="7" t="s">
        <v>128</v>
      </c>
      <c r="D28" s="7" t="s">
        <v>123</v>
      </c>
      <c r="E28" s="14" t="s">
        <v>129</v>
      </c>
      <c r="F28" s="15">
        <v>0.96</v>
      </c>
      <c r="G28" s="5" t="str">
        <f t="shared" si="0"/>
        <v>Đang hoàn thiện</v>
      </c>
      <c r="H28" s="7"/>
    </row>
    <row r="29" spans="1:8" ht="60" customHeight="1" x14ac:dyDescent="0.25">
      <c r="A29" s="5">
        <v>25</v>
      </c>
      <c r="B29" s="7" t="s">
        <v>28</v>
      </c>
      <c r="C29" s="7" t="s">
        <v>130</v>
      </c>
      <c r="D29" s="7" t="s">
        <v>131</v>
      </c>
      <c r="E29" s="14" t="s">
        <v>132</v>
      </c>
      <c r="F29" s="15">
        <v>0.96</v>
      </c>
      <c r="G29" s="5" t="str">
        <f t="shared" si="0"/>
        <v>Đang hoàn thiện</v>
      </c>
      <c r="H29" s="7"/>
    </row>
    <row r="30" spans="1:8" ht="60" customHeight="1" x14ac:dyDescent="0.25">
      <c r="A30" s="5">
        <v>26</v>
      </c>
      <c r="B30" s="7" t="s">
        <v>28</v>
      </c>
      <c r="C30" s="7" t="s">
        <v>133</v>
      </c>
      <c r="D30" s="7" t="s">
        <v>134</v>
      </c>
      <c r="E30" s="14" t="s">
        <v>135</v>
      </c>
      <c r="F30" s="15">
        <v>0.95</v>
      </c>
      <c r="G30" s="5" t="str">
        <f t="shared" si="0"/>
        <v>Đang hoàn thiện</v>
      </c>
      <c r="H30" s="7"/>
    </row>
    <row r="31" spans="1:8" ht="73.05" customHeight="1" x14ac:dyDescent="0.25">
      <c r="A31" s="5">
        <v>27</v>
      </c>
      <c r="B31" s="7" t="s">
        <v>28</v>
      </c>
      <c r="C31" s="7" t="s">
        <v>136</v>
      </c>
      <c r="D31" s="7" t="s">
        <v>137</v>
      </c>
      <c r="E31" s="14" t="s">
        <v>138</v>
      </c>
      <c r="F31" s="15">
        <v>0.97</v>
      </c>
      <c r="G31" s="5" t="str">
        <f t="shared" si="0"/>
        <v>Đang hoàn thiện</v>
      </c>
      <c r="H31" s="7"/>
    </row>
    <row r="32" spans="1:8" ht="73.05" customHeight="1" x14ac:dyDescent="0.25">
      <c r="A32" s="16">
        <v>28</v>
      </c>
      <c r="B32" s="17" t="s">
        <v>30</v>
      </c>
      <c r="C32" s="18" t="s">
        <v>139</v>
      </c>
      <c r="D32" s="18" t="s">
        <v>140</v>
      </c>
      <c r="E32" s="19" t="s">
        <v>141</v>
      </c>
      <c r="F32" s="20">
        <v>0.97</v>
      </c>
      <c r="G32" s="16" t="str">
        <f t="shared" si="0"/>
        <v>Đang hoàn thiện</v>
      </c>
      <c r="H32" s="18"/>
    </row>
    <row r="33" spans="1:8" ht="73.05" customHeight="1" x14ac:dyDescent="0.25">
      <c r="A33" s="5">
        <v>29</v>
      </c>
      <c r="B33" s="7" t="s">
        <v>30</v>
      </c>
      <c r="C33" s="7" t="s">
        <v>142</v>
      </c>
      <c r="D33" s="7" t="s">
        <v>143</v>
      </c>
      <c r="E33" s="14" t="s">
        <v>144</v>
      </c>
      <c r="F33" s="15">
        <v>0.97</v>
      </c>
      <c r="G33" s="5" t="str">
        <f t="shared" si="0"/>
        <v>Đang hoàn thiện</v>
      </c>
      <c r="H33" s="7"/>
    </row>
    <row r="34" spans="1:8" ht="60" customHeight="1" x14ac:dyDescent="0.25">
      <c r="A34" s="16">
        <v>30</v>
      </c>
      <c r="B34" s="17" t="s">
        <v>32</v>
      </c>
      <c r="C34" s="18" t="s">
        <v>145</v>
      </c>
      <c r="D34" s="18" t="s">
        <v>146</v>
      </c>
      <c r="E34" s="19" t="s">
        <v>147</v>
      </c>
      <c r="F34" s="20">
        <v>0.96</v>
      </c>
      <c r="G34" s="16" t="str">
        <f t="shared" si="0"/>
        <v>Đang hoàn thiện</v>
      </c>
      <c r="H34" s="18" t="s">
        <v>148</v>
      </c>
    </row>
    <row r="35" spans="1:8" ht="60" customHeight="1" x14ac:dyDescent="0.25">
      <c r="A35" s="5">
        <v>31</v>
      </c>
      <c r="B35" s="7" t="s">
        <v>32</v>
      </c>
      <c r="C35" s="7" t="s">
        <v>149</v>
      </c>
      <c r="D35" s="7" t="s">
        <v>150</v>
      </c>
      <c r="E35" s="14" t="s">
        <v>151</v>
      </c>
      <c r="F35" s="15">
        <v>0.97</v>
      </c>
      <c r="G35" s="5" t="str">
        <f t="shared" si="0"/>
        <v>Đang hoàn thiện</v>
      </c>
      <c r="H35" s="7"/>
    </row>
    <row r="36" spans="1:8" ht="60" customHeight="1" x14ac:dyDescent="0.25">
      <c r="A36" s="5">
        <v>32</v>
      </c>
      <c r="B36" s="7" t="s">
        <v>32</v>
      </c>
      <c r="C36" s="7" t="s">
        <v>152</v>
      </c>
      <c r="D36" s="7" t="s">
        <v>153</v>
      </c>
      <c r="E36" s="14" t="s">
        <v>154</v>
      </c>
      <c r="F36" s="15">
        <v>0.96</v>
      </c>
      <c r="G36" s="5" t="str">
        <f t="shared" si="0"/>
        <v>Đang hoàn thiện</v>
      </c>
      <c r="H36" s="7"/>
    </row>
    <row r="37" spans="1:8" ht="60" customHeight="1" x14ac:dyDescent="0.25">
      <c r="A37" s="5">
        <v>33</v>
      </c>
      <c r="B37" s="7" t="s">
        <v>32</v>
      </c>
      <c r="C37" s="7" t="s">
        <v>155</v>
      </c>
      <c r="D37" s="7" t="s">
        <v>156</v>
      </c>
      <c r="E37" s="14" t="s">
        <v>157</v>
      </c>
      <c r="F37" s="15">
        <v>0.93</v>
      </c>
      <c r="G37" s="5" t="str">
        <f t="shared" ref="G37:G68" si="1">IF(F37&gt;=0.9,"Đang hoàn thiện",IF(F37&gt;0,"Đang làm","Chưa làm"))</f>
        <v>Đang hoàn thiện</v>
      </c>
      <c r="H37" s="7"/>
    </row>
    <row r="38" spans="1:8" ht="60" customHeight="1" x14ac:dyDescent="0.25">
      <c r="A38" s="16">
        <v>34</v>
      </c>
      <c r="B38" s="17" t="s">
        <v>34</v>
      </c>
      <c r="C38" s="18" t="s">
        <v>158</v>
      </c>
      <c r="D38" s="18" t="s">
        <v>159</v>
      </c>
      <c r="E38" s="19" t="s">
        <v>160</v>
      </c>
      <c r="F38" s="20">
        <v>0.94</v>
      </c>
      <c r="G38" s="16" t="str">
        <f t="shared" si="1"/>
        <v>Đang hoàn thiện</v>
      </c>
      <c r="H38" s="18"/>
    </row>
    <row r="39" spans="1:8" ht="73.05" customHeight="1" x14ac:dyDescent="0.25">
      <c r="A39" s="5">
        <v>35</v>
      </c>
      <c r="B39" s="7" t="s">
        <v>34</v>
      </c>
      <c r="C39" s="7" t="s">
        <v>161</v>
      </c>
      <c r="D39" s="7" t="s">
        <v>162</v>
      </c>
      <c r="E39" s="14" t="s">
        <v>163</v>
      </c>
      <c r="F39" s="15">
        <v>0.9</v>
      </c>
      <c r="G39" s="5" t="str">
        <f t="shared" si="1"/>
        <v>Đang hoàn thiện</v>
      </c>
      <c r="H39" s="7"/>
    </row>
    <row r="40" spans="1:8" ht="46.95" customHeight="1" x14ac:dyDescent="0.25">
      <c r="A40" s="5">
        <v>36</v>
      </c>
      <c r="B40" s="7" t="s">
        <v>34</v>
      </c>
      <c r="C40" s="7" t="s">
        <v>164</v>
      </c>
      <c r="D40" s="7" t="s">
        <v>165</v>
      </c>
      <c r="E40" s="14" t="s">
        <v>166</v>
      </c>
      <c r="F40" s="15">
        <v>0.92</v>
      </c>
      <c r="G40" s="5" t="str">
        <f t="shared" si="1"/>
        <v>Đang hoàn thiện</v>
      </c>
      <c r="H40" s="7"/>
    </row>
    <row r="41" spans="1:8" ht="46.95" customHeight="1" x14ac:dyDescent="0.25">
      <c r="A41" s="5">
        <v>37</v>
      </c>
      <c r="B41" s="7" t="s">
        <v>34</v>
      </c>
      <c r="C41" s="7" t="s">
        <v>167</v>
      </c>
      <c r="D41" s="7" t="s">
        <v>168</v>
      </c>
      <c r="E41" s="14" t="s">
        <v>169</v>
      </c>
      <c r="F41" s="15">
        <v>0.96</v>
      </c>
      <c r="G41" s="5" t="str">
        <f t="shared" si="1"/>
        <v>Đang hoàn thiện</v>
      </c>
      <c r="H41" s="7"/>
    </row>
    <row r="42" spans="1:8" ht="46.95" customHeight="1" x14ac:dyDescent="0.25">
      <c r="A42" s="5">
        <v>38</v>
      </c>
      <c r="B42" s="7" t="s">
        <v>34</v>
      </c>
      <c r="C42" s="7" t="s">
        <v>170</v>
      </c>
      <c r="D42" s="7" t="s">
        <v>171</v>
      </c>
      <c r="E42" s="14" t="s">
        <v>172</v>
      </c>
      <c r="F42" s="15">
        <v>0.93</v>
      </c>
      <c r="G42" s="5" t="str">
        <f t="shared" si="1"/>
        <v>Đang hoàn thiện</v>
      </c>
      <c r="H42" s="7"/>
    </row>
    <row r="43" spans="1:8" ht="46.95" customHeight="1" x14ac:dyDescent="0.25">
      <c r="A43" s="5">
        <v>39</v>
      </c>
      <c r="B43" s="7" t="s">
        <v>34</v>
      </c>
      <c r="C43" s="7" t="s">
        <v>173</v>
      </c>
      <c r="D43" s="7" t="s">
        <v>174</v>
      </c>
      <c r="E43" s="14" t="s">
        <v>175</v>
      </c>
      <c r="F43" s="15">
        <v>0.91</v>
      </c>
      <c r="G43" s="5" t="str">
        <f t="shared" si="1"/>
        <v>Đang hoàn thiện</v>
      </c>
      <c r="H43" s="7"/>
    </row>
    <row r="44" spans="1:8" ht="46.95" customHeight="1" x14ac:dyDescent="0.25">
      <c r="A44" s="5">
        <v>40</v>
      </c>
      <c r="B44" s="7" t="s">
        <v>34</v>
      </c>
      <c r="C44" s="7" t="s">
        <v>176</v>
      </c>
      <c r="D44" s="7" t="s">
        <v>177</v>
      </c>
      <c r="E44" s="14" t="s">
        <v>178</v>
      </c>
      <c r="F44" s="15">
        <v>0.9</v>
      </c>
      <c r="G44" s="5" t="str">
        <f t="shared" si="1"/>
        <v>Đang hoàn thiện</v>
      </c>
      <c r="H44" s="7"/>
    </row>
    <row r="45" spans="1:8" ht="60" customHeight="1" x14ac:dyDescent="0.25">
      <c r="A45" s="5">
        <v>41</v>
      </c>
      <c r="B45" s="7" t="s">
        <v>34</v>
      </c>
      <c r="C45" s="7" t="s">
        <v>179</v>
      </c>
      <c r="D45" s="7" t="s">
        <v>180</v>
      </c>
      <c r="E45" s="14" t="s">
        <v>181</v>
      </c>
      <c r="F45" s="15">
        <v>0.97</v>
      </c>
      <c r="G45" s="5" t="str">
        <f t="shared" si="1"/>
        <v>Đang hoàn thiện</v>
      </c>
      <c r="H45" s="7"/>
    </row>
    <row r="46" spans="1:8" ht="60" customHeight="1" x14ac:dyDescent="0.25">
      <c r="A46" s="5">
        <v>42</v>
      </c>
      <c r="B46" s="7" t="s">
        <v>34</v>
      </c>
      <c r="C46" s="7" t="s">
        <v>182</v>
      </c>
      <c r="D46" s="7" t="s">
        <v>183</v>
      </c>
      <c r="E46" s="14" t="s">
        <v>184</v>
      </c>
      <c r="F46" s="15">
        <v>0.91</v>
      </c>
      <c r="G46" s="5" t="str">
        <f t="shared" si="1"/>
        <v>Đang hoàn thiện</v>
      </c>
      <c r="H46" s="7"/>
    </row>
    <row r="47" spans="1:8" ht="46.95" customHeight="1" x14ac:dyDescent="0.25">
      <c r="A47" s="5">
        <v>43</v>
      </c>
      <c r="B47" s="7" t="s">
        <v>34</v>
      </c>
      <c r="C47" s="7" t="s">
        <v>185</v>
      </c>
      <c r="D47" s="7" t="s">
        <v>186</v>
      </c>
      <c r="E47" s="14" t="s">
        <v>187</v>
      </c>
      <c r="F47" s="15">
        <v>0.97</v>
      </c>
      <c r="G47" s="5" t="str">
        <f t="shared" si="1"/>
        <v>Đang hoàn thiện</v>
      </c>
      <c r="H47" s="7"/>
    </row>
    <row r="48" spans="1:8" ht="46.95" customHeight="1" x14ac:dyDescent="0.25">
      <c r="A48" s="5">
        <v>44</v>
      </c>
      <c r="B48" s="7" t="s">
        <v>34</v>
      </c>
      <c r="C48" s="7" t="s">
        <v>188</v>
      </c>
      <c r="D48" s="7" t="s">
        <v>28</v>
      </c>
      <c r="E48" s="14" t="s">
        <v>189</v>
      </c>
      <c r="F48" s="15">
        <v>0.97</v>
      </c>
      <c r="G48" s="5" t="str">
        <f t="shared" si="1"/>
        <v>Đang hoàn thiện</v>
      </c>
      <c r="H48" s="7"/>
    </row>
    <row r="49" spans="1:8" ht="46.95" customHeight="1" x14ac:dyDescent="0.25">
      <c r="A49" s="16">
        <v>45</v>
      </c>
      <c r="B49" s="17" t="s">
        <v>36</v>
      </c>
      <c r="C49" s="18" t="s">
        <v>190</v>
      </c>
      <c r="D49" s="18" t="s">
        <v>191</v>
      </c>
      <c r="E49" s="19" t="s">
        <v>192</v>
      </c>
      <c r="F49" s="20">
        <v>0.92</v>
      </c>
      <c r="G49" s="16" t="str">
        <f t="shared" si="1"/>
        <v>Đang hoàn thiện</v>
      </c>
      <c r="H49" s="18"/>
    </row>
    <row r="50" spans="1:8" ht="73.05" customHeight="1" x14ac:dyDescent="0.25">
      <c r="A50" s="5">
        <v>46</v>
      </c>
      <c r="B50" s="7" t="s">
        <v>36</v>
      </c>
      <c r="C50" s="7" t="s">
        <v>193</v>
      </c>
      <c r="D50" s="7" t="s">
        <v>194</v>
      </c>
      <c r="E50" s="14" t="s">
        <v>195</v>
      </c>
      <c r="F50" s="15">
        <v>0.9</v>
      </c>
      <c r="G50" s="5" t="str">
        <f t="shared" si="1"/>
        <v>Đang hoàn thiện</v>
      </c>
      <c r="H50" s="7"/>
    </row>
    <row r="51" spans="1:8" ht="73.05" customHeight="1" x14ac:dyDescent="0.25">
      <c r="A51" s="5">
        <v>47</v>
      </c>
      <c r="B51" s="7" t="s">
        <v>36</v>
      </c>
      <c r="C51" s="7" t="s">
        <v>196</v>
      </c>
      <c r="D51" s="7" t="s">
        <v>197</v>
      </c>
      <c r="E51" s="14" t="s">
        <v>198</v>
      </c>
      <c r="F51" s="15">
        <v>0.96</v>
      </c>
      <c r="G51" s="5" t="str">
        <f t="shared" si="1"/>
        <v>Đang hoàn thiện</v>
      </c>
      <c r="H51" s="7"/>
    </row>
    <row r="52" spans="1:8" ht="60" customHeight="1" x14ac:dyDescent="0.25">
      <c r="A52" s="5">
        <v>48</v>
      </c>
      <c r="B52" s="7" t="s">
        <v>36</v>
      </c>
      <c r="C52" s="7" t="s">
        <v>199</v>
      </c>
      <c r="D52" s="7" t="s">
        <v>200</v>
      </c>
      <c r="E52" s="14" t="s">
        <v>201</v>
      </c>
      <c r="F52" s="15">
        <v>0.9</v>
      </c>
      <c r="G52" s="5" t="str">
        <f t="shared" si="1"/>
        <v>Đang hoàn thiện</v>
      </c>
      <c r="H52" s="7"/>
    </row>
    <row r="53" spans="1:8" ht="60" customHeight="1" x14ac:dyDescent="0.25">
      <c r="A53" s="5">
        <v>49</v>
      </c>
      <c r="B53" s="7" t="s">
        <v>36</v>
      </c>
      <c r="C53" s="7" t="s">
        <v>202</v>
      </c>
      <c r="D53" s="7" t="s">
        <v>200</v>
      </c>
      <c r="E53" s="14" t="s">
        <v>203</v>
      </c>
      <c r="F53" s="15">
        <v>0.96</v>
      </c>
      <c r="G53" s="5" t="str">
        <f t="shared" si="1"/>
        <v>Đang hoàn thiện</v>
      </c>
      <c r="H53" s="7"/>
    </row>
    <row r="54" spans="1:8" ht="60" customHeight="1" x14ac:dyDescent="0.25">
      <c r="A54" s="5">
        <v>50</v>
      </c>
      <c r="B54" s="7" t="s">
        <v>36</v>
      </c>
      <c r="C54" s="7" t="s">
        <v>204</v>
      </c>
      <c r="D54" s="7" t="s">
        <v>205</v>
      </c>
      <c r="E54" s="14" t="s">
        <v>206</v>
      </c>
      <c r="F54" s="15">
        <v>0.93</v>
      </c>
      <c r="G54" s="5" t="str">
        <f t="shared" si="1"/>
        <v>Đang hoàn thiện</v>
      </c>
      <c r="H54" s="7"/>
    </row>
    <row r="55" spans="1:8" ht="46.95" customHeight="1" x14ac:dyDescent="0.25">
      <c r="A55" s="5">
        <v>51</v>
      </c>
      <c r="B55" s="7" t="s">
        <v>36</v>
      </c>
      <c r="C55" s="7" t="s">
        <v>207</v>
      </c>
      <c r="D55" s="7" t="s">
        <v>194</v>
      </c>
      <c r="E55" s="14" t="s">
        <v>208</v>
      </c>
      <c r="F55" s="15">
        <v>0.95</v>
      </c>
      <c r="G55" s="5" t="str">
        <f t="shared" si="1"/>
        <v>Đang hoàn thiện</v>
      </c>
      <c r="H55" s="7"/>
    </row>
    <row r="56" spans="1:8" ht="46.95" customHeight="1" x14ac:dyDescent="0.25">
      <c r="A56" s="5">
        <v>52</v>
      </c>
      <c r="B56" s="7" t="s">
        <v>36</v>
      </c>
      <c r="C56" s="7" t="s">
        <v>209</v>
      </c>
      <c r="D56" s="7" t="s">
        <v>205</v>
      </c>
      <c r="E56" s="14" t="s">
        <v>210</v>
      </c>
      <c r="F56" s="15">
        <v>0.93</v>
      </c>
      <c r="G56" s="5" t="str">
        <f t="shared" si="1"/>
        <v>Đang hoàn thiện</v>
      </c>
      <c r="H56" s="7"/>
    </row>
    <row r="57" spans="1:8" ht="34.049999999999997" customHeight="1" x14ac:dyDescent="0.25">
      <c r="A57" s="5">
        <v>53</v>
      </c>
      <c r="B57" s="7" t="s">
        <v>36</v>
      </c>
      <c r="C57" s="7" t="s">
        <v>211</v>
      </c>
      <c r="D57" s="7" t="s">
        <v>58</v>
      </c>
      <c r="E57" s="14" t="s">
        <v>212</v>
      </c>
      <c r="F57" s="15">
        <v>0.93</v>
      </c>
      <c r="G57" s="5" t="str">
        <f t="shared" si="1"/>
        <v>Đang hoàn thiện</v>
      </c>
      <c r="H57" s="7"/>
    </row>
    <row r="58" spans="1:8" ht="34.049999999999997" customHeight="1" x14ac:dyDescent="0.25">
      <c r="A58" s="5">
        <v>54</v>
      </c>
      <c r="B58" s="7" t="s">
        <v>36</v>
      </c>
      <c r="C58" s="7" t="s">
        <v>213</v>
      </c>
      <c r="D58" s="7" t="s">
        <v>58</v>
      </c>
      <c r="E58" s="14" t="s">
        <v>214</v>
      </c>
      <c r="F58" s="15">
        <v>0.9</v>
      </c>
      <c r="G58" s="5" t="str">
        <f t="shared" si="1"/>
        <v>Đang hoàn thiện</v>
      </c>
      <c r="H58" s="7"/>
    </row>
    <row r="59" spans="1:8" ht="60" customHeight="1" x14ac:dyDescent="0.25">
      <c r="A59" s="5">
        <v>55</v>
      </c>
      <c r="B59" s="7" t="s">
        <v>36</v>
      </c>
      <c r="C59" s="7" t="s">
        <v>215</v>
      </c>
      <c r="D59" s="7" t="s">
        <v>205</v>
      </c>
      <c r="E59" s="14" t="s">
        <v>216</v>
      </c>
      <c r="F59" s="15">
        <v>0.97</v>
      </c>
      <c r="G59" s="5" t="str">
        <f t="shared" si="1"/>
        <v>Đang hoàn thiện</v>
      </c>
      <c r="H59" s="7" t="s">
        <v>217</v>
      </c>
    </row>
    <row r="60" spans="1:8" ht="60" customHeight="1" x14ac:dyDescent="0.25">
      <c r="A60" s="5">
        <v>56</v>
      </c>
      <c r="B60" s="7" t="s">
        <v>36</v>
      </c>
      <c r="C60" s="7" t="s">
        <v>218</v>
      </c>
      <c r="D60" s="7" t="s">
        <v>219</v>
      </c>
      <c r="E60" s="14" t="s">
        <v>220</v>
      </c>
      <c r="F60" s="21">
        <f>'Lương khoán'!$E$24</f>
        <v>0.5575757575757575</v>
      </c>
      <c r="G60" s="5" t="str">
        <f t="shared" si="1"/>
        <v>Đang làm</v>
      </c>
      <c r="H60" s="7" t="s">
        <v>221</v>
      </c>
    </row>
    <row r="61" spans="1:8" ht="34.049999999999997" customHeight="1" x14ac:dyDescent="0.25">
      <c r="A61" s="5">
        <v>57</v>
      </c>
      <c r="B61" s="7" t="s">
        <v>36</v>
      </c>
      <c r="C61" s="7" t="s">
        <v>222</v>
      </c>
      <c r="D61" s="7" t="s">
        <v>223</v>
      </c>
      <c r="E61" s="14" t="s">
        <v>224</v>
      </c>
      <c r="F61" s="15">
        <v>0.91</v>
      </c>
      <c r="G61" s="5" t="str">
        <f t="shared" si="1"/>
        <v>Đang hoàn thiện</v>
      </c>
      <c r="H61" s="7"/>
    </row>
    <row r="62" spans="1:8" ht="60" customHeight="1" x14ac:dyDescent="0.25">
      <c r="A62" s="16">
        <v>58</v>
      </c>
      <c r="B62" s="17" t="s">
        <v>38</v>
      </c>
      <c r="C62" s="18" t="s">
        <v>225</v>
      </c>
      <c r="D62" s="18" t="s">
        <v>226</v>
      </c>
      <c r="E62" s="19" t="s">
        <v>227</v>
      </c>
      <c r="F62" s="20">
        <v>0.94</v>
      </c>
      <c r="G62" s="16" t="str">
        <f t="shared" si="1"/>
        <v>Đang hoàn thiện</v>
      </c>
      <c r="H62" s="18" t="s">
        <v>228</v>
      </c>
    </row>
    <row r="63" spans="1:8" ht="60" customHeight="1" x14ac:dyDescent="0.25">
      <c r="A63" s="5">
        <v>59</v>
      </c>
      <c r="B63" s="7" t="s">
        <v>38</v>
      </c>
      <c r="C63" s="7" t="s">
        <v>229</v>
      </c>
      <c r="D63" s="7" t="s">
        <v>230</v>
      </c>
      <c r="E63" s="14" t="s">
        <v>231</v>
      </c>
      <c r="F63" s="15">
        <v>0.9</v>
      </c>
      <c r="G63" s="5" t="str">
        <f t="shared" si="1"/>
        <v>Đang hoàn thiện</v>
      </c>
      <c r="H63" s="7"/>
    </row>
  </sheetData>
  <autoFilter ref="A4:H63" xr:uid="{00000000-0009-0000-0000-000001000000}"/>
  <mergeCells count="2">
    <mergeCell ref="A2:H2"/>
    <mergeCell ref="A1:H1"/>
  </mergeCells>
  <conditionalFormatting sqref="F5:F63">
    <cfRule type="dataBar" priority="1">
      <dataBar>
        <cfvo type="num" val="0"/>
        <cfvo type="num" val="1"/>
        <color rgb="FF5B9BD5"/>
      </dataBar>
    </cfRule>
  </conditionalFormatting>
  <conditionalFormatting sqref="G5:G63">
    <cfRule type="cellIs" dxfId="13" priority="2" operator="equal">
      <formula>"Hoàn thành"</formula>
    </cfRule>
    <cfRule type="cellIs" dxfId="12" priority="3" operator="equal">
      <formula>"Đang hoàn thiện"</formula>
    </cfRule>
    <cfRule type="cellIs" dxfId="11" priority="4" operator="equal">
      <formula>"Đã xong"</formula>
    </cfRule>
    <cfRule type="cellIs" dxfId="10" priority="5" operator="equal">
      <formula>"Gần xong"</formula>
    </cfRule>
    <cfRule type="cellIs" dxfId="9" priority="6" operator="equal">
      <formula>"Đang làm"</formula>
    </cfRule>
    <cfRule type="cellIs" dxfId="8" priority="7" operator="equal">
      <formula>"Làm dở"</formula>
    </cfRule>
    <cfRule type="cellIs" dxfId="7" priority="8" operator="equal">
      <formula>"Chưa làm"</formula>
    </cfRule>
  </conditionalFormatting>
  <printOptions horizontalCentered="1"/>
  <pageMargins left="0.4" right="0.4"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5"/>
  <sheetViews>
    <sheetView showGridLines="0" workbookViewId="0">
      <pane ySplit="4" topLeftCell="A5" activePane="bottomLeft" state="frozen"/>
      <selection pane="bottomLeft"/>
    </sheetView>
  </sheetViews>
  <sheetFormatPr defaultRowHeight="13.8" x14ac:dyDescent="0.25"/>
  <cols>
    <col min="1" max="1" width="6" customWidth="1"/>
    <col min="2" max="2" width="16" customWidth="1"/>
    <col min="3" max="3" width="40" customWidth="1"/>
    <col min="4" max="5" width="13" customWidth="1"/>
    <col min="6" max="6" width="10" customWidth="1"/>
    <col min="7" max="7" width="64" customWidth="1"/>
  </cols>
  <sheetData>
    <row r="1" spans="1:7" ht="25.95" customHeight="1" x14ac:dyDescent="0.4">
      <c r="A1" s="32" t="s">
        <v>232</v>
      </c>
      <c r="B1" s="27"/>
      <c r="C1" s="27"/>
      <c r="D1" s="27"/>
      <c r="E1" s="27"/>
      <c r="F1" s="27"/>
      <c r="G1" s="27"/>
    </row>
    <row r="2" spans="1:7" x14ac:dyDescent="0.25">
      <c r="A2" s="31" t="s">
        <v>233</v>
      </c>
      <c r="B2" s="27"/>
      <c r="C2" s="27"/>
      <c r="D2" s="27"/>
      <c r="E2" s="27"/>
      <c r="F2" s="27"/>
      <c r="G2" s="27"/>
    </row>
    <row r="4" spans="1:7" ht="30" customHeight="1" x14ac:dyDescent="0.25">
      <c r="A4" s="4" t="s">
        <v>9</v>
      </c>
      <c r="B4" s="4" t="s">
        <v>234</v>
      </c>
      <c r="C4" s="4" t="s">
        <v>235</v>
      </c>
      <c r="D4" s="4" t="s">
        <v>15</v>
      </c>
      <c r="E4" s="4" t="s">
        <v>14</v>
      </c>
      <c r="F4" s="4" t="s">
        <v>236</v>
      </c>
      <c r="G4" s="4" t="s">
        <v>237</v>
      </c>
    </row>
    <row r="5" spans="1:7" ht="19.05" customHeight="1" x14ac:dyDescent="0.25">
      <c r="A5" s="5">
        <v>1</v>
      </c>
      <c r="B5" s="7" t="s">
        <v>238</v>
      </c>
      <c r="C5" s="7" t="s">
        <v>239</v>
      </c>
      <c r="D5" s="5" t="str">
        <f t="shared" ref="D5:D23" si="0">IF(E5&gt;=1,"Đã xong",IF(E5&gt;=0.8,"Gần xong",IF(E5=0,"Chưa làm","Làm dở")))</f>
        <v>Đã xong</v>
      </c>
      <c r="E5" s="15">
        <v>1</v>
      </c>
      <c r="F5" s="22">
        <v>2</v>
      </c>
      <c r="G5" s="7" t="s">
        <v>240</v>
      </c>
    </row>
    <row r="6" spans="1:7" ht="31.95" customHeight="1" x14ac:dyDescent="0.25">
      <c r="A6" s="5">
        <v>2</v>
      </c>
      <c r="B6" s="7" t="s">
        <v>238</v>
      </c>
      <c r="C6" s="7" t="s">
        <v>241</v>
      </c>
      <c r="D6" s="5" t="str">
        <f t="shared" si="0"/>
        <v>Đã xong</v>
      </c>
      <c r="E6" s="15">
        <v>1</v>
      </c>
      <c r="F6" s="22">
        <v>1</v>
      </c>
      <c r="G6" s="7" t="s">
        <v>242</v>
      </c>
    </row>
    <row r="7" spans="1:7" ht="19.05" customHeight="1" x14ac:dyDescent="0.25">
      <c r="A7" s="5">
        <v>3</v>
      </c>
      <c r="B7" s="7" t="s">
        <v>238</v>
      </c>
      <c r="C7" s="7" t="s">
        <v>243</v>
      </c>
      <c r="D7" s="5" t="str">
        <f t="shared" si="0"/>
        <v>Làm dở</v>
      </c>
      <c r="E7" s="15">
        <v>0.3</v>
      </c>
      <c r="F7" s="22">
        <v>2</v>
      </c>
      <c r="G7" s="7" t="s">
        <v>244</v>
      </c>
    </row>
    <row r="8" spans="1:7" ht="19.05" customHeight="1" x14ac:dyDescent="0.25">
      <c r="A8" s="5">
        <v>4</v>
      </c>
      <c r="B8" s="7" t="s">
        <v>238</v>
      </c>
      <c r="C8" s="7" t="s">
        <v>245</v>
      </c>
      <c r="D8" s="5" t="str">
        <f t="shared" si="0"/>
        <v>Làm dở</v>
      </c>
      <c r="E8" s="15">
        <v>0.5</v>
      </c>
      <c r="F8" s="22">
        <v>1</v>
      </c>
      <c r="G8" s="7" t="s">
        <v>246</v>
      </c>
    </row>
    <row r="9" spans="1:7" ht="31.95" customHeight="1" x14ac:dyDescent="0.25">
      <c r="A9" s="5">
        <v>5</v>
      </c>
      <c r="B9" s="7" t="s">
        <v>238</v>
      </c>
      <c r="C9" s="7" t="s">
        <v>247</v>
      </c>
      <c r="D9" s="5" t="str">
        <f t="shared" si="0"/>
        <v>Đã xong</v>
      </c>
      <c r="E9" s="15">
        <v>1</v>
      </c>
      <c r="F9" s="22">
        <v>2</v>
      </c>
      <c r="G9" s="7" t="s">
        <v>248</v>
      </c>
    </row>
    <row r="10" spans="1:7" ht="31.95" customHeight="1" x14ac:dyDescent="0.25">
      <c r="A10" s="5">
        <v>6</v>
      </c>
      <c r="B10" s="7" t="s">
        <v>238</v>
      </c>
      <c r="C10" s="7" t="s">
        <v>249</v>
      </c>
      <c r="D10" s="5" t="str">
        <f t="shared" si="0"/>
        <v>Đã xong</v>
      </c>
      <c r="E10" s="15">
        <v>1</v>
      </c>
      <c r="F10" s="22">
        <v>1</v>
      </c>
      <c r="G10" s="7" t="s">
        <v>250</v>
      </c>
    </row>
    <row r="11" spans="1:7" ht="31.95" customHeight="1" x14ac:dyDescent="0.25">
      <c r="A11" s="5">
        <v>7</v>
      </c>
      <c r="B11" s="7" t="s">
        <v>251</v>
      </c>
      <c r="C11" s="7" t="s">
        <v>252</v>
      </c>
      <c r="D11" s="5" t="str">
        <f t="shared" si="0"/>
        <v>Chưa làm</v>
      </c>
      <c r="E11" s="15">
        <v>0</v>
      </c>
      <c r="F11" s="22">
        <v>3</v>
      </c>
      <c r="G11" s="7" t="s">
        <v>253</v>
      </c>
    </row>
    <row r="12" spans="1:7" ht="19.05" customHeight="1" x14ac:dyDescent="0.25">
      <c r="A12" s="5">
        <v>8</v>
      </c>
      <c r="B12" s="7" t="s">
        <v>251</v>
      </c>
      <c r="C12" s="7" t="s">
        <v>254</v>
      </c>
      <c r="D12" s="5" t="str">
        <f t="shared" si="0"/>
        <v>Làm dở</v>
      </c>
      <c r="E12" s="15">
        <v>0.5</v>
      </c>
      <c r="F12" s="22">
        <v>1</v>
      </c>
      <c r="G12" s="7" t="s">
        <v>255</v>
      </c>
    </row>
    <row r="13" spans="1:7" ht="19.05" customHeight="1" x14ac:dyDescent="0.25">
      <c r="A13" s="5">
        <v>9</v>
      </c>
      <c r="B13" s="7" t="s">
        <v>251</v>
      </c>
      <c r="C13" s="7" t="s">
        <v>256</v>
      </c>
      <c r="D13" s="5" t="str">
        <f t="shared" si="0"/>
        <v>Làm dở</v>
      </c>
      <c r="E13" s="15">
        <v>0.5</v>
      </c>
      <c r="F13" s="22">
        <v>1</v>
      </c>
      <c r="G13" s="7" t="s">
        <v>257</v>
      </c>
    </row>
    <row r="14" spans="1:7" ht="31.95" customHeight="1" x14ac:dyDescent="0.25">
      <c r="A14" s="5">
        <v>10</v>
      </c>
      <c r="B14" s="7" t="s">
        <v>251</v>
      </c>
      <c r="C14" s="7" t="s">
        <v>258</v>
      </c>
      <c r="D14" s="5" t="str">
        <f t="shared" si="0"/>
        <v>Làm dở</v>
      </c>
      <c r="E14" s="15">
        <v>0.4</v>
      </c>
      <c r="F14" s="22">
        <v>2</v>
      </c>
      <c r="G14" s="7" t="s">
        <v>259</v>
      </c>
    </row>
    <row r="15" spans="1:7" ht="31.95" customHeight="1" x14ac:dyDescent="0.25">
      <c r="A15" s="5">
        <v>11</v>
      </c>
      <c r="B15" s="7" t="s">
        <v>251</v>
      </c>
      <c r="C15" s="7" t="s">
        <v>260</v>
      </c>
      <c r="D15" s="5" t="str">
        <f t="shared" si="0"/>
        <v>Chưa làm</v>
      </c>
      <c r="E15" s="15">
        <v>0</v>
      </c>
      <c r="F15" s="22">
        <v>5</v>
      </c>
      <c r="G15" s="7" t="s">
        <v>261</v>
      </c>
    </row>
    <row r="16" spans="1:7" ht="19.05" customHeight="1" x14ac:dyDescent="0.25">
      <c r="A16" s="5">
        <v>12</v>
      </c>
      <c r="B16" s="7" t="s">
        <v>251</v>
      </c>
      <c r="C16" s="7" t="s">
        <v>262</v>
      </c>
      <c r="D16" s="5" t="str">
        <f t="shared" si="0"/>
        <v>Làm dở</v>
      </c>
      <c r="E16" s="15">
        <v>0.2</v>
      </c>
      <c r="F16" s="22">
        <v>1</v>
      </c>
      <c r="G16" s="7" t="s">
        <v>263</v>
      </c>
    </row>
    <row r="17" spans="1:7" ht="31.95" customHeight="1" x14ac:dyDescent="0.25">
      <c r="A17" s="5">
        <v>13</v>
      </c>
      <c r="B17" s="7" t="s">
        <v>264</v>
      </c>
      <c r="C17" s="7" t="s">
        <v>265</v>
      </c>
      <c r="D17" s="5" t="str">
        <f t="shared" si="0"/>
        <v>Làm dở</v>
      </c>
      <c r="E17" s="15">
        <v>0.7</v>
      </c>
      <c r="F17" s="22">
        <v>2</v>
      </c>
      <c r="G17" s="7" t="s">
        <v>266</v>
      </c>
    </row>
    <row r="18" spans="1:7" ht="19.05" customHeight="1" x14ac:dyDescent="0.25">
      <c r="A18" s="5">
        <v>14</v>
      </c>
      <c r="B18" s="7" t="s">
        <v>264</v>
      </c>
      <c r="C18" s="7" t="s">
        <v>267</v>
      </c>
      <c r="D18" s="5" t="str">
        <f t="shared" si="0"/>
        <v>Đã xong</v>
      </c>
      <c r="E18" s="15">
        <v>1</v>
      </c>
      <c r="F18" s="22">
        <v>2</v>
      </c>
      <c r="G18" s="7" t="s">
        <v>268</v>
      </c>
    </row>
    <row r="19" spans="1:7" ht="19.05" customHeight="1" x14ac:dyDescent="0.25">
      <c r="A19" s="5">
        <v>15</v>
      </c>
      <c r="B19" s="7" t="s">
        <v>264</v>
      </c>
      <c r="C19" s="7" t="s">
        <v>269</v>
      </c>
      <c r="D19" s="5" t="str">
        <f t="shared" si="0"/>
        <v>Đã xong</v>
      </c>
      <c r="E19" s="15">
        <v>1</v>
      </c>
      <c r="F19" s="22">
        <v>1</v>
      </c>
      <c r="G19" s="7" t="s">
        <v>270</v>
      </c>
    </row>
    <row r="20" spans="1:7" ht="31.95" customHeight="1" x14ac:dyDescent="0.25">
      <c r="A20" s="5">
        <v>16</v>
      </c>
      <c r="B20" s="7" t="s">
        <v>264</v>
      </c>
      <c r="C20" s="7" t="s">
        <v>271</v>
      </c>
      <c r="D20" s="5" t="str">
        <f t="shared" si="0"/>
        <v>Làm dở</v>
      </c>
      <c r="E20" s="15">
        <v>0.5</v>
      </c>
      <c r="F20" s="22">
        <v>1</v>
      </c>
      <c r="G20" s="7" t="s">
        <v>272</v>
      </c>
    </row>
    <row r="21" spans="1:7" ht="19.05" customHeight="1" x14ac:dyDescent="0.25">
      <c r="A21" s="5">
        <v>17</v>
      </c>
      <c r="B21" s="7" t="s">
        <v>264</v>
      </c>
      <c r="C21" s="7" t="s">
        <v>273</v>
      </c>
      <c r="D21" s="5" t="str">
        <f t="shared" si="0"/>
        <v>Đã xong</v>
      </c>
      <c r="E21" s="15">
        <v>1</v>
      </c>
      <c r="F21" s="22">
        <v>1</v>
      </c>
      <c r="G21" s="7" t="s">
        <v>274</v>
      </c>
    </row>
    <row r="22" spans="1:7" ht="19.05" customHeight="1" x14ac:dyDescent="0.25">
      <c r="A22" s="5">
        <v>18</v>
      </c>
      <c r="B22" s="7" t="s">
        <v>264</v>
      </c>
      <c r="C22" s="7" t="s">
        <v>275</v>
      </c>
      <c r="D22" s="5" t="str">
        <f t="shared" si="0"/>
        <v>Làm dở</v>
      </c>
      <c r="E22" s="15">
        <v>0.7</v>
      </c>
      <c r="F22" s="22">
        <v>1</v>
      </c>
      <c r="G22" s="7" t="s">
        <v>276</v>
      </c>
    </row>
    <row r="23" spans="1:7" ht="31.95" customHeight="1" x14ac:dyDescent="0.25">
      <c r="A23" s="5">
        <v>19</v>
      </c>
      <c r="B23" s="7" t="s">
        <v>277</v>
      </c>
      <c r="C23" s="7" t="s">
        <v>278</v>
      </c>
      <c r="D23" s="5" t="str">
        <f t="shared" si="0"/>
        <v>Gần xong</v>
      </c>
      <c r="E23" s="15">
        <v>0.9</v>
      </c>
      <c r="F23" s="22">
        <v>3</v>
      </c>
      <c r="G23" s="7" t="s">
        <v>279</v>
      </c>
    </row>
    <row r="24" spans="1:7" ht="30" customHeight="1" x14ac:dyDescent="0.25">
      <c r="A24" s="9"/>
      <c r="B24" s="9"/>
      <c r="C24" s="10" t="s">
        <v>280</v>
      </c>
      <c r="D24" s="11" t="str">
        <f>IF(E24&gt;=1,"Đã xong","Làm dở")</f>
        <v>Làm dở</v>
      </c>
      <c r="E24" s="12">
        <f>SUMPRODUCT(E5:E23,F5:F23)/SUM(F5:F23)</f>
        <v>0.5575757575757575</v>
      </c>
      <c r="F24" s="11">
        <f>SUM(F5:F23)</f>
        <v>33</v>
      </c>
      <c r="G24" s="10" t="s">
        <v>281</v>
      </c>
    </row>
    <row r="26" spans="1:7" ht="15.6" x14ac:dyDescent="0.25">
      <c r="A26" s="1" t="s">
        <v>282</v>
      </c>
    </row>
    <row r="27" spans="1:7" x14ac:dyDescent="0.25">
      <c r="B27" s="4" t="s">
        <v>234</v>
      </c>
      <c r="C27" s="4" t="s">
        <v>283</v>
      </c>
      <c r="D27" s="4" t="s">
        <v>14</v>
      </c>
    </row>
    <row r="28" spans="1:7" x14ac:dyDescent="0.25">
      <c r="B28" s="7" t="s">
        <v>238</v>
      </c>
      <c r="C28" s="5">
        <f>COUNTIF($B$5:$B$23,B28)</f>
        <v>6</v>
      </c>
      <c r="D28" s="23">
        <f>SUMPRODUCT(($B$5:$B$23=B28)*$E$5:$E$23*$F$5:$F$23)/SUMIF($B$5:$B$23,B28,$F$5:$F$23)</f>
        <v>0.78888888888888886</v>
      </c>
    </row>
    <row r="29" spans="1:7" x14ac:dyDescent="0.25">
      <c r="B29" s="7" t="s">
        <v>251</v>
      </c>
      <c r="C29" s="5">
        <f>COUNTIF($B$5:$B$23,B29)</f>
        <v>6</v>
      </c>
      <c r="D29" s="23">
        <f>SUMPRODUCT(($B$5:$B$23=B29)*$E$5:$E$23*$F$5:$F$23)/SUMIF($B$5:$B$23,B29,$F$5:$F$23)</f>
        <v>0.15384615384615385</v>
      </c>
    </row>
    <row r="30" spans="1:7" x14ac:dyDescent="0.25">
      <c r="B30" s="7" t="s">
        <v>264</v>
      </c>
      <c r="C30" s="5">
        <f>COUNTIF($B$5:$B$23,B30)</f>
        <v>6</v>
      </c>
      <c r="D30" s="23">
        <f>SUMPRODUCT(($B$5:$B$23=B30)*$E$5:$E$23*$F$5:$F$23)/SUMIF($B$5:$B$23,B30,$F$5:$F$23)</f>
        <v>0.82500000000000007</v>
      </c>
    </row>
    <row r="31" spans="1:7" x14ac:dyDescent="0.25">
      <c r="B31" s="7" t="s">
        <v>277</v>
      </c>
      <c r="C31" s="5">
        <f>COUNTIF($B$5:$B$23,B31)</f>
        <v>1</v>
      </c>
      <c r="D31" s="23">
        <f>SUMPRODUCT(($B$5:$B$23=B31)*$E$5:$E$23*$F$5:$F$23)/SUMIF($B$5:$B$23,B31,$F$5:$F$23)</f>
        <v>0.9</v>
      </c>
    </row>
    <row r="33" spans="1:7" ht="15.6" x14ac:dyDescent="0.25">
      <c r="A33" s="1" t="s">
        <v>284</v>
      </c>
    </row>
    <row r="34" spans="1:7" ht="19.05" customHeight="1" x14ac:dyDescent="0.25">
      <c r="B34" s="24">
        <v>1</v>
      </c>
      <c r="C34" s="33" t="s">
        <v>285</v>
      </c>
      <c r="D34" s="27"/>
      <c r="E34" s="27"/>
      <c r="F34" s="27"/>
      <c r="G34" s="27"/>
    </row>
    <row r="35" spans="1:7" ht="19.05" customHeight="1" x14ac:dyDescent="0.25">
      <c r="B35" s="24">
        <v>2</v>
      </c>
      <c r="C35" s="33" t="s">
        <v>286</v>
      </c>
      <c r="D35" s="27"/>
      <c r="E35" s="27"/>
      <c r="F35" s="27"/>
      <c r="G35" s="27"/>
    </row>
    <row r="36" spans="1:7" ht="19.05" customHeight="1" x14ac:dyDescent="0.25">
      <c r="B36" s="24">
        <v>3</v>
      </c>
      <c r="C36" s="33" t="s">
        <v>287</v>
      </c>
      <c r="D36" s="27"/>
      <c r="E36" s="27"/>
      <c r="F36" s="27"/>
      <c r="G36" s="27"/>
    </row>
    <row r="37" spans="1:7" ht="19.05" customHeight="1" x14ac:dyDescent="0.25">
      <c r="B37" s="24">
        <v>4</v>
      </c>
      <c r="C37" s="33" t="s">
        <v>288</v>
      </c>
      <c r="D37" s="27"/>
      <c r="E37" s="27"/>
      <c r="F37" s="27"/>
      <c r="G37" s="27"/>
    </row>
    <row r="38" spans="1:7" ht="19.05" customHeight="1" x14ac:dyDescent="0.25">
      <c r="B38" s="24">
        <v>5</v>
      </c>
      <c r="C38" s="33" t="s">
        <v>289</v>
      </c>
      <c r="D38" s="27"/>
      <c r="E38" s="27"/>
      <c r="F38" s="27"/>
      <c r="G38" s="27"/>
    </row>
    <row r="39" spans="1:7" ht="19.05" customHeight="1" x14ac:dyDescent="0.25">
      <c r="B39" s="24">
        <v>6</v>
      </c>
      <c r="C39" s="33" t="s">
        <v>290</v>
      </c>
      <c r="D39" s="27"/>
      <c r="E39" s="27"/>
      <c r="F39" s="27"/>
      <c r="G39" s="27"/>
    </row>
    <row r="41" spans="1:7" ht="15.6" x14ac:dyDescent="0.25">
      <c r="A41" s="1" t="s">
        <v>291</v>
      </c>
    </row>
    <row r="42" spans="1:7" ht="30" customHeight="1" x14ac:dyDescent="0.25">
      <c r="B42" s="24" t="s">
        <v>292</v>
      </c>
      <c r="C42" s="25" t="s">
        <v>293</v>
      </c>
      <c r="D42" s="33" t="s">
        <v>294</v>
      </c>
      <c r="E42" s="27"/>
      <c r="F42" s="27"/>
      <c r="G42" s="27"/>
    </row>
    <row r="43" spans="1:7" ht="30" customHeight="1" x14ac:dyDescent="0.25">
      <c r="B43" s="24" t="s">
        <v>292</v>
      </c>
      <c r="C43" s="25" t="s">
        <v>295</v>
      </c>
      <c r="D43" s="33" t="s">
        <v>296</v>
      </c>
      <c r="E43" s="27"/>
      <c r="F43" s="27"/>
      <c r="G43" s="27"/>
    </row>
    <row r="45" spans="1:7" ht="25.95" customHeight="1" x14ac:dyDescent="0.25">
      <c r="A45" s="34" t="s">
        <v>297</v>
      </c>
      <c r="B45" s="27"/>
      <c r="C45" s="27"/>
      <c r="D45" s="27"/>
      <c r="E45" s="27"/>
      <c r="F45" s="27"/>
      <c r="G45" s="27"/>
    </row>
  </sheetData>
  <mergeCells count="11">
    <mergeCell ref="D43:G43"/>
    <mergeCell ref="C39:G39"/>
    <mergeCell ref="A45:G45"/>
    <mergeCell ref="C35:G35"/>
    <mergeCell ref="A1:G1"/>
    <mergeCell ref="C34:G34"/>
    <mergeCell ref="C38:G38"/>
    <mergeCell ref="D42:G42"/>
    <mergeCell ref="A2:G2"/>
    <mergeCell ref="C37:G37"/>
    <mergeCell ref="C36:G36"/>
  </mergeCells>
  <conditionalFormatting sqref="D5:D24">
    <cfRule type="cellIs" dxfId="6" priority="2" operator="equal">
      <formula>"Hoàn thành"</formula>
    </cfRule>
    <cfRule type="cellIs" dxfId="5" priority="3" operator="equal">
      <formula>"Đang hoàn thiện"</formula>
    </cfRule>
    <cfRule type="cellIs" dxfId="4" priority="4" operator="equal">
      <formula>"Đã xong"</formula>
    </cfRule>
    <cfRule type="cellIs" dxfId="3" priority="5" operator="equal">
      <formula>"Gần xong"</formula>
    </cfRule>
    <cfRule type="cellIs" dxfId="2" priority="6" operator="equal">
      <formula>"Đang làm"</formula>
    </cfRule>
    <cfRule type="cellIs" dxfId="1" priority="7" operator="equal">
      <formula>"Làm dở"</formula>
    </cfRule>
    <cfRule type="cellIs" dxfId="0" priority="8" operator="equal">
      <formula>"Chưa làm"</formula>
    </cfRule>
  </conditionalFormatting>
  <conditionalFormatting sqref="D28:D31">
    <cfRule type="dataBar" priority="9">
      <dataBar>
        <cfvo type="num" val="0"/>
        <cfvo type="num" val="1"/>
        <color rgb="FF5B9BD5"/>
      </dataBar>
    </cfRule>
  </conditionalFormatting>
  <conditionalFormatting sqref="E5:E24">
    <cfRule type="dataBar" priority="1">
      <dataBar>
        <cfvo type="num" val="0"/>
        <cfvo type="num" val="1"/>
        <color rgb="FF5B9BD5"/>
      </dataBar>
    </cfRule>
  </conditionalFormatting>
  <printOptions horizontalCentered="1"/>
  <pageMargins left="0.4" right="0.4"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11"/>
  <sheetViews>
    <sheetView showGridLines="0" workbookViewId="0"/>
  </sheetViews>
  <sheetFormatPr defaultRowHeight="13.8" x14ac:dyDescent="0.25"/>
  <cols>
    <col min="1" max="1" width="6" customWidth="1"/>
    <col min="2" max="2" width="28" customWidth="1"/>
    <col min="3" max="3" width="100" customWidth="1"/>
  </cols>
  <sheetData>
    <row r="1" spans="1:3" ht="25.95" customHeight="1" x14ac:dyDescent="0.4">
      <c r="A1" s="32" t="s">
        <v>298</v>
      </c>
      <c r="B1" s="27"/>
      <c r="C1" s="27"/>
    </row>
    <row r="2" spans="1:3" x14ac:dyDescent="0.25">
      <c r="A2" s="31" t="s">
        <v>299</v>
      </c>
      <c r="B2" s="27"/>
      <c r="C2" s="27"/>
    </row>
    <row r="4" spans="1:3" ht="30" customHeight="1" x14ac:dyDescent="0.25">
      <c r="A4" s="4" t="s">
        <v>9</v>
      </c>
      <c r="B4" s="4" t="s">
        <v>300</v>
      </c>
      <c r="C4" s="4" t="s">
        <v>301</v>
      </c>
    </row>
    <row r="5" spans="1:3" ht="34.049999999999997" customHeight="1" x14ac:dyDescent="0.25">
      <c r="A5" s="5">
        <v>1</v>
      </c>
      <c r="B5" s="6" t="s">
        <v>302</v>
      </c>
      <c r="C5" s="7" t="s">
        <v>303</v>
      </c>
    </row>
    <row r="6" spans="1:3" ht="21" customHeight="1" x14ac:dyDescent="0.25">
      <c r="A6" s="5">
        <v>2</v>
      </c>
      <c r="B6" s="6" t="s">
        <v>304</v>
      </c>
      <c r="C6" s="7" t="s">
        <v>305</v>
      </c>
    </row>
    <row r="7" spans="1:3" ht="21" customHeight="1" x14ac:dyDescent="0.25">
      <c r="A7" s="5">
        <v>3</v>
      </c>
      <c r="B7" s="6" t="s">
        <v>306</v>
      </c>
      <c r="C7" s="7" t="s">
        <v>307</v>
      </c>
    </row>
    <row r="8" spans="1:3" ht="34.049999999999997" customHeight="1" x14ac:dyDescent="0.25">
      <c r="A8" s="5">
        <v>4</v>
      </c>
      <c r="B8" s="6" t="s">
        <v>308</v>
      </c>
      <c r="C8" s="7" t="s">
        <v>309</v>
      </c>
    </row>
    <row r="9" spans="1:3" ht="34.049999999999997" customHeight="1" x14ac:dyDescent="0.25">
      <c r="A9" s="5">
        <v>5</v>
      </c>
      <c r="B9" s="6" t="s">
        <v>310</v>
      </c>
      <c r="C9" s="7" t="s">
        <v>311</v>
      </c>
    </row>
    <row r="10" spans="1:3" ht="21" customHeight="1" x14ac:dyDescent="0.25">
      <c r="A10" s="5">
        <v>6</v>
      </c>
      <c r="B10" s="6" t="s">
        <v>312</v>
      </c>
      <c r="C10" s="7" t="s">
        <v>313</v>
      </c>
    </row>
    <row r="11" spans="1:3" ht="21" customHeight="1" x14ac:dyDescent="0.25">
      <c r="A11" s="5">
        <v>7</v>
      </c>
      <c r="B11" s="6" t="s">
        <v>314</v>
      </c>
      <c r="C11" s="7" t="s">
        <v>315</v>
      </c>
    </row>
  </sheetData>
  <mergeCells count="2">
    <mergeCell ref="A1:C1"/>
    <mergeCell ref="A2:C2"/>
  </mergeCells>
  <printOptions horizontalCentered="1"/>
  <pageMargins left="0.4" right="0.4"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Tổng quan</vt:lpstr>
      <vt:lpstr>Chi tiết chức năng</vt:lpstr>
      <vt:lpstr>Lương khoán</vt:lpstr>
      <vt:lpstr>Tính năng chung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lv thong</cp:lastModifiedBy>
  <dcterms:created xsi:type="dcterms:W3CDTF">2026-10-13T08:09:17Z</dcterms:created>
  <dcterms:modified xsi:type="dcterms:W3CDTF">2026-10-13T08:09:47Z</dcterms:modified>
</cp:coreProperties>
</file>